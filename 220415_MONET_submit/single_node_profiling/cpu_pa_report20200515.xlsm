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ml.chartshapes+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ml.chartshapes+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v08.osss.g01.fujitsu.local\f00151\アプリ4開発\ツール\PostK\仕様書・レビュー結果\性能解析ツール\CPU性能解析レポート\3_PG\提供Excel_FIX\20200220版(L20PT2版RikenPatch)\"/>
    </mc:Choice>
  </mc:AlternateContent>
  <xr:revisionPtr revIDLastSave="0" documentId="13_ncr:1_{C19A8C01-04C9-47E7-9987-22451F7F283E}" xr6:coauthVersionLast="44" xr6:coauthVersionMax="44" xr10:uidLastSave="{00000000-0000-0000-0000-000000000000}"/>
  <workbookProtection workbookAlgorithmName="SHA-512" workbookHashValue="4hSB2zadJdVJS+ypW2V5nWKBs2UFozr3fEXRTqFL/UPg2mPkeSNx6QpQnIE0NswMkO5F/Z5nPvyaMtI/qiiUfQ==" workbookSaltValue="ya3dvTRB5ntlOb9eL5hT5g==" workbookSpinCount="100000" lockStructure="1"/>
  <bookViews>
    <workbookView xWindow="-120" yWindow="-120" windowWidth="29040" windowHeight="17640" xr2:uid="{00000000-000D-0000-FFFF-FFFF00000000}"/>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2" i="25" l="1"/>
  <c r="G11" i="25"/>
  <c r="G10" i="25"/>
  <c r="G5" i="25"/>
  <c r="G4" i="25"/>
  <c r="C4" i="9" l="1"/>
  <c r="RA30" i="25"/>
  <c r="J3" i="9" l="1"/>
  <c r="PI40" i="25"/>
  <c r="PI41" i="25"/>
  <c r="PI33" i="25"/>
  <c r="PI35" i="25"/>
  <c r="RA41" i="25"/>
  <c r="PH35" i="25"/>
  <c r="PH30" i="25"/>
  <c r="PI37" i="25"/>
  <c r="RA40" i="25"/>
  <c r="OS36" i="25"/>
  <c r="OS32" i="25"/>
  <c r="OT36" i="25"/>
  <c r="OT32" i="25"/>
  <c r="OT31" i="25"/>
  <c r="NL34" i="25"/>
  <c r="OT41" i="25"/>
  <c r="NL30" i="25"/>
  <c r="NL35" i="25"/>
  <c r="OT38" i="25"/>
  <c r="OS33" i="25"/>
  <c r="OS42" i="25"/>
  <c r="RA34" i="25"/>
  <c r="PH34" i="25"/>
  <c r="PH37" i="25"/>
  <c r="PH33" i="25"/>
  <c r="RA37" i="25"/>
  <c r="PI30" i="25"/>
  <c r="PH39" i="25"/>
  <c r="PH38" i="25"/>
  <c r="PH41" i="25"/>
  <c r="PI42" i="25"/>
  <c r="NL42" i="25"/>
  <c r="OS38" i="25"/>
  <c r="NL32" i="25"/>
  <c r="NL33" i="25"/>
  <c r="NL31" i="25"/>
  <c r="OT39" i="25"/>
  <c r="RA35" i="25"/>
  <c r="PI38" i="25"/>
  <c r="RA38" i="25"/>
  <c r="PI31" i="25"/>
  <c r="RA32" i="25"/>
  <c r="PI39" i="25"/>
  <c r="PI34" i="25"/>
  <c r="PI36" i="25"/>
  <c r="PH42" i="25"/>
  <c r="OS39" i="25"/>
  <c r="OT34" i="25"/>
  <c r="OT37" i="25"/>
  <c r="OS31" i="25"/>
  <c r="NL41" i="25"/>
  <c r="OT40" i="25"/>
  <c r="OT30" i="25"/>
  <c r="OT35" i="25"/>
  <c r="NL37" i="25"/>
  <c r="NL36" i="25"/>
  <c r="PH31" i="25"/>
  <c r="PH36" i="25"/>
  <c r="RA33" i="25"/>
  <c r="PH32" i="25"/>
  <c r="RA31" i="25"/>
  <c r="PI32" i="25"/>
  <c r="RA36" i="25"/>
  <c r="PH40" i="25"/>
  <c r="RA39" i="25"/>
  <c r="OT33" i="25"/>
  <c r="OS40" i="25"/>
  <c r="OS30" i="25"/>
  <c r="OS35" i="25"/>
  <c r="OS41" i="25"/>
  <c r="OS34" i="25"/>
  <c r="NL39" i="25"/>
  <c r="NL38" i="25"/>
  <c r="OT42" i="25"/>
  <c r="NL40" i="25"/>
  <c r="OS37"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RK28" i="25"/>
  <c r="SN28" i="25" l="1"/>
  <c r="SM28" i="25"/>
  <c r="RV28" i="25"/>
  <c r="RW28" i="25"/>
  <c r="RX28" i="25"/>
  <c r="RY28" i="25"/>
  <c r="RZ28" i="25"/>
  <c r="SA28" i="25"/>
  <c r="SB28" i="25"/>
  <c r="SC28" i="25"/>
  <c r="SD28" i="25"/>
  <c r="SE28" i="25"/>
  <c r="SF28" i="25"/>
  <c r="SG28" i="25"/>
  <c r="SH28" i="25"/>
  <c r="SI28" i="25"/>
  <c r="SJ28" i="25"/>
  <c r="SK28" i="25"/>
  <c r="SL28" i="25"/>
  <c r="RU28" i="25"/>
  <c r="RU27" i="25"/>
  <c r="RL28" i="25"/>
  <c r="D113" i="9" s="1"/>
  <c r="RM28" i="25"/>
  <c r="E113" i="9" s="1"/>
  <c r="RN28" i="25"/>
  <c r="F113" i="9" s="1"/>
  <c r="RO28" i="25"/>
  <c r="G113" i="9" s="1"/>
  <c r="RP28" i="25"/>
  <c r="H113" i="9" s="1"/>
  <c r="RQ28" i="25"/>
  <c r="I113" i="9" s="1"/>
  <c r="C113" i="9"/>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T30" i="25" s="1"/>
  <c r="PM25" i="25"/>
  <c r="PW28" i="25" s="1"/>
  <c r="ND25" i="25"/>
  <c r="O9" i="25"/>
  <c r="PL30" i="25" l="1"/>
  <c r="QN32" i="25"/>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P37" i="25"/>
  <c r="QB39" i="25"/>
  <c r="QB30" i="25"/>
  <c r="PP38" i="25"/>
  <c r="QB31" i="25"/>
  <c r="PP39" i="25"/>
  <c r="PW31" i="25"/>
  <c r="PG38" i="25"/>
  <c r="PP41" i="25"/>
  <c r="PW32" i="25"/>
  <c r="PG37" i="25"/>
  <c r="PT39" i="25"/>
  <c r="PT33" i="25"/>
  <c r="PL31" i="25"/>
  <c r="PT31" i="25"/>
  <c r="PL33" i="25"/>
  <c r="NW30" i="25"/>
  <c r="NZ30" i="25"/>
  <c r="PP33" i="25"/>
  <c r="PP36" i="25"/>
  <c r="PW37" i="25"/>
  <c r="PW41" i="25"/>
  <c r="PL35" i="25"/>
  <c r="PT35" i="25"/>
  <c r="PL40" i="25"/>
  <c r="PP31" i="25"/>
  <c r="PP35" i="25"/>
  <c r="PG33" i="25"/>
  <c r="PW35" i="25"/>
  <c r="PP34" i="25"/>
  <c r="QB38" i="25"/>
  <c r="PP30" i="25"/>
  <c r="PW33" i="25"/>
  <c r="QB41" i="25"/>
  <c r="PP40" i="25"/>
  <c r="QB37" i="25"/>
  <c r="QB33" i="25"/>
  <c r="PT38" i="25"/>
  <c r="PT32" i="25"/>
  <c r="PT40" i="25"/>
  <c r="PL32" i="25"/>
  <c r="PL37" i="25"/>
  <c r="OH30" i="25"/>
  <c r="QB34" i="25"/>
  <c r="QB32" i="25"/>
  <c r="PG36" i="25"/>
  <c r="PG35" i="25"/>
  <c r="PL36" i="25"/>
  <c r="NV30" i="25"/>
  <c r="PP32" i="25"/>
  <c r="PW40" i="25"/>
  <c r="QB40" i="25"/>
  <c r="PW38" i="25"/>
  <c r="PW30" i="25"/>
  <c r="QB35" i="25"/>
  <c r="PW34" i="25"/>
  <c r="PG32" i="25"/>
  <c r="QB36" i="25"/>
  <c r="PW39" i="25"/>
  <c r="PG41" i="25"/>
  <c r="PL38" i="25"/>
  <c r="PL41" i="25"/>
  <c r="PL34" i="25"/>
  <c r="PL39" i="25"/>
  <c r="PT37" i="25"/>
  <c r="PT34" i="25"/>
  <c r="NO30" i="25"/>
  <c r="PG30" i="25"/>
  <c r="PG31" i="25"/>
  <c r="PW36" i="25"/>
  <c r="PT41" i="25"/>
  <c r="PT36" i="25"/>
  <c r="J57" i="9" l="1"/>
  <c r="PF32" i="25"/>
  <c r="K57" i="9" s="1"/>
  <c r="J56" i="9"/>
  <c r="PF31" i="25"/>
  <c r="K56" i="9" s="1"/>
  <c r="J55" i="9"/>
  <c r="PF30" i="25"/>
  <c r="K55" i="9" s="1"/>
  <c r="PE42" i="25"/>
  <c r="L62" i="9"/>
  <c r="L56" i="9"/>
  <c r="L55" i="9"/>
  <c r="L58" i="9"/>
  <c r="L66" i="9"/>
  <c r="L63" i="9"/>
  <c r="L60"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40" i="25"/>
  <c r="PG39" i="25"/>
  <c r="PG42" i="25"/>
  <c r="PG34" i="25"/>
  <c r="L65" i="9" l="1"/>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33" i="25"/>
  <c r="PD30" i="25"/>
  <c r="PC32" i="25"/>
  <c r="PD41" i="25"/>
  <c r="PC41" i="25"/>
  <c r="PD35" i="25"/>
  <c r="PB31" i="25"/>
  <c r="PB33" i="25"/>
  <c r="PB36" i="25"/>
  <c r="PC36" i="25"/>
  <c r="PD32" i="25"/>
  <c r="PD40" i="25"/>
  <c r="PC35" i="25"/>
  <c r="PD36" i="25"/>
  <c r="PD33" i="25"/>
  <c r="PB35" i="25"/>
  <c r="PB40" i="25"/>
  <c r="PB37" i="25"/>
  <c r="PC30" i="25"/>
  <c r="PD31" i="25"/>
  <c r="PD38" i="25"/>
  <c r="PC40" i="25"/>
  <c r="PC39" i="25"/>
  <c r="PD39" i="25"/>
  <c r="PB41" i="25"/>
  <c r="PB32" i="25"/>
  <c r="PB34" i="25"/>
  <c r="PC37" i="25"/>
  <c r="PC31" i="25"/>
  <c r="PC38" i="25"/>
  <c r="PD37" i="25"/>
  <c r="PC34" i="25"/>
  <c r="PD34" i="25"/>
  <c r="PB38" i="25"/>
  <c r="PB30" i="25"/>
  <c r="PB39"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D42" i="25"/>
  <c r="PB42" i="25"/>
  <c r="PC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OI31" i="25" s="1"/>
  <c r="NC32" i="25"/>
  <c r="OI32" i="25" s="1"/>
  <c r="NC33" i="25"/>
  <c r="OI33" i="25" s="1"/>
  <c r="NC34" i="25"/>
  <c r="OI34" i="25" s="1"/>
  <c r="NC35" i="25"/>
  <c r="OI35" i="25" s="1"/>
  <c r="NC36" i="25"/>
  <c r="OI36" i="25" s="1"/>
  <c r="NC37" i="25"/>
  <c r="OI37" i="25" s="1"/>
  <c r="NC38" i="25"/>
  <c r="OI38" i="25" s="1"/>
  <c r="NC39" i="25"/>
  <c r="OI39" i="25" s="1"/>
  <c r="NC40" i="25"/>
  <c r="OI40" i="25" s="1"/>
  <c r="NC41" i="25"/>
  <c r="OI41" i="25" s="1"/>
  <c r="NP36" i="25" l="1"/>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V35" i="25" s="1"/>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V38" i="25" s="1"/>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NC42" i="25"/>
  <c r="RR40" i="25"/>
  <c r="RR32" i="25"/>
  <c r="RR39" i="25"/>
  <c r="RR35" i="25"/>
  <c r="RR38" i="25"/>
  <c r="RR34" i="25"/>
  <c r="NN37" i="25"/>
  <c r="NF37" i="25"/>
  <c r="NN40" i="25"/>
  <c r="NF40" i="25"/>
  <c r="NN36" i="25"/>
  <c r="NF36" i="25"/>
  <c r="NN39" i="25"/>
  <c r="NF39" i="25"/>
  <c r="NN35" i="25"/>
  <c r="NF35" i="25"/>
  <c r="NN31" i="25"/>
  <c r="NF31" i="25"/>
  <c r="NN41" i="25"/>
  <c r="NF41" i="25"/>
  <c r="NN33" i="25"/>
  <c r="NF33" i="25"/>
  <c r="NF32" i="25"/>
  <c r="NN32" i="25"/>
  <c r="NN38" i="25"/>
  <c r="NF38" i="25"/>
  <c r="NN34" i="25"/>
  <c r="NF34" i="25"/>
  <c r="NZ31" i="25"/>
  <c r="NW36" i="25"/>
  <c r="NO41" i="25"/>
  <c r="NZ40" i="25"/>
  <c r="NZ34" i="25"/>
  <c r="NW40" i="25"/>
  <c r="NO40" i="25"/>
  <c r="NV40" i="25"/>
  <c r="NW32" i="25"/>
  <c r="OH40" i="25"/>
  <c r="NV34" i="25"/>
  <c r="NW39" i="25"/>
  <c r="NV37" i="25"/>
  <c r="OH32" i="25"/>
  <c r="NO39" i="25"/>
  <c r="NZ41" i="25"/>
  <c r="NZ36" i="25"/>
  <c r="OH34" i="25"/>
  <c r="NZ38" i="25"/>
  <c r="NV39" i="25"/>
  <c r="NZ33" i="25"/>
  <c r="NO36" i="25"/>
  <c r="NO32" i="25"/>
  <c r="NW38" i="25"/>
  <c r="OH31" i="25"/>
  <c r="NW41" i="25"/>
  <c r="NV33" i="25"/>
  <c r="NW34" i="25"/>
  <c r="NO38" i="25"/>
  <c r="NZ35" i="25"/>
  <c r="NV31" i="25"/>
  <c r="NO37" i="25"/>
  <c r="NO34" i="25"/>
  <c r="OH36" i="25"/>
  <c r="NO31" i="25"/>
  <c r="NO33" i="25"/>
  <c r="OH33" i="25"/>
  <c r="NZ32" i="25"/>
  <c r="NW37" i="25"/>
  <c r="OH39" i="25"/>
  <c r="OH35" i="25"/>
  <c r="NW33" i="25"/>
  <c r="NZ37" i="25"/>
  <c r="NW35" i="25"/>
  <c r="OH38" i="25"/>
  <c r="NV36" i="25"/>
  <c r="OH41" i="25"/>
  <c r="NW31" i="25"/>
  <c r="NZ39" i="25"/>
  <c r="NV32" i="25"/>
  <c r="OH37" i="25"/>
  <c r="NV41" i="25"/>
  <c r="NO35" i="25"/>
  <c r="AC23" i="9" l="1"/>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K30" i="25"/>
  <c r="RQ30" i="25"/>
  <c r="I115" i="9" s="1"/>
  <c r="RP30" i="25"/>
  <c r="H115" i="9" s="1"/>
  <c r="RK31" i="25"/>
  <c r="C114" i="9" s="1"/>
  <c r="RM30" i="25"/>
  <c r="RO30" i="25"/>
  <c r="G115" i="9" s="1"/>
  <c r="RN31" i="25"/>
  <c r="F114" i="9" s="1"/>
  <c r="RN30" i="25"/>
  <c r="RL30" i="25"/>
  <c r="RM31" i="25"/>
  <c r="E114" i="9" s="1"/>
  <c r="RO31" i="25"/>
  <c r="G114" i="9" s="1"/>
  <c r="RQ31" i="25"/>
  <c r="I114" i="9" s="1"/>
  <c r="RP31" i="25"/>
  <c r="H114" i="9" s="1"/>
  <c r="RL31" i="25"/>
  <c r="D114" i="9" s="1"/>
  <c r="TZ47" i="25"/>
  <c r="TZ51" i="25"/>
  <c r="TZ43" i="25"/>
  <c r="TZ54" i="25"/>
  <c r="TZ44" i="25"/>
  <c r="TZ48" i="25"/>
  <c r="TZ52" i="25"/>
  <c r="TZ50" i="25"/>
  <c r="TZ45" i="25"/>
  <c r="TZ49" i="25"/>
  <c r="TZ53" i="25"/>
  <c r="TZ46" i="25"/>
  <c r="NG42" i="25" l="1"/>
  <c r="OP42" i="25" s="1"/>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TM31" i="25" l="1"/>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QQ39" i="25"/>
  <c r="O107" i="9" s="1"/>
  <c r="QO41" i="25"/>
  <c r="M109" i="9" s="1"/>
  <c r="QP30" i="25"/>
  <c r="N98" i="9" s="1"/>
  <c r="QO42" i="25"/>
  <c r="QO32" i="25"/>
  <c r="M100" i="9" s="1"/>
  <c r="QP33" i="25"/>
  <c r="N101" i="9" s="1"/>
  <c r="QQ34" i="25"/>
  <c r="O102" i="9" s="1"/>
  <c r="QO36" i="25"/>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M104" i="9"/>
  <c r="O100" i="9"/>
  <c r="NK31" i="25"/>
  <c r="K15" i="9" s="1"/>
  <c r="NK35" i="25"/>
  <c r="K19" i="9" s="1"/>
  <c r="NK39" i="25"/>
  <c r="K23" i="9" s="1"/>
  <c r="NK32" i="25"/>
  <c r="K16" i="9" s="1"/>
  <c r="NK36" i="25"/>
  <c r="K20" i="9" s="1"/>
  <c r="NK40" i="25"/>
  <c r="K24" i="9" s="1"/>
  <c r="N106" i="9"/>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4"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R41" i="25"/>
  <c r="QR40" i="25"/>
  <c r="QR33" i="25"/>
  <c r="QR39" i="25"/>
  <c r="QR38" i="25"/>
  <c r="QR30" i="25"/>
  <c r="QR31" i="25"/>
  <c r="QR32" i="25"/>
  <c r="QM37" i="25"/>
  <c r="QR42" i="25"/>
  <c r="QR35" i="25"/>
  <c r="QR37" i="25"/>
  <c r="QR36" i="25"/>
  <c r="QR34"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N16" i="9"/>
  <c r="AI79" i="9"/>
  <c r="QI42" i="25"/>
  <c r="Z89" i="9" s="1"/>
  <c r="UM46" i="25"/>
  <c r="P107" i="9"/>
  <c r="N17" i="9"/>
  <c r="AI80" i="9"/>
  <c r="QL42" i="25"/>
  <c r="AC89" i="9" s="1"/>
  <c r="N25" i="9"/>
  <c r="AI88" i="9"/>
  <c r="AI81" i="9"/>
  <c r="N18" i="9"/>
  <c r="AI85" i="9"/>
  <c r="N22" i="9"/>
  <c r="QC42" i="25"/>
  <c r="N20" i="9"/>
  <c r="AI83" i="9"/>
  <c r="N19" i="9"/>
  <c r="AI82" i="9"/>
  <c r="AI84" i="9"/>
  <c r="N21" i="9"/>
  <c r="PU42" i="25"/>
  <c r="L89" i="9" s="1"/>
  <c r="PR42" i="25"/>
  <c r="I89" i="9" s="1"/>
  <c r="PZ42" i="25"/>
  <c r="Q89" i="9" s="1"/>
  <c r="UM47" i="25"/>
  <c r="UO46" i="25"/>
  <c r="UM45" i="25"/>
  <c r="UM49" i="25"/>
  <c r="UM53" i="25"/>
  <c r="UM51" i="25"/>
  <c r="NI42" i="25"/>
  <c r="I26" i="9" s="1"/>
  <c r="P102" i="9"/>
  <c r="P109" i="9"/>
  <c r="QB42" i="25"/>
  <c r="S89" i="9" s="1"/>
  <c r="QM41" i="25"/>
  <c r="QM36" i="25"/>
  <c r="QM30" i="25"/>
  <c r="QM39" i="25"/>
  <c r="QM31" i="25"/>
  <c r="QM32" i="25"/>
  <c r="QM35" i="25"/>
  <c r="QM34" i="25"/>
  <c r="QM33" i="25"/>
  <c r="QM40" i="25"/>
  <c r="QM38"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N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<sst xmlns="http://schemas.openxmlformats.org/spreadsheetml/2006/main" count="2641" uniqueCount="1954">
  <si>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</si>
  <si>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</si>
  <si>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</si>
  <si>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</si>
  <si>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</si>
  <si>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</si>
  <si>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</si>
  <si>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</si>
  <si>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</si>
  <si>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</si>
  <si>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</si>
  <si>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</si>
  <si>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</si>
  <si>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</si>
  <si>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</si>
  <si>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</si>
  <si>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</si>
  <si>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</si>
  <si>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</si>
  <si>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</si>
  <si>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</si>
  <si>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</si>
  <si>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</si>
  <si>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</si>
  <si>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</si>
  <si>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</si>
  <si>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</si>
  <si>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</si>
  <si>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</si>
  <si>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</si>
  <si>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</si>
  <si>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</si>
  <si>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</si>
  <si>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</si>
  <si>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</si>
  <si>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</si>
  <si>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</si>
  <si>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</si>
  <si>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</si>
  <si>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</si>
  <si>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</si>
  <si>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</si>
  <si>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</si>
  <si>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</si>
  <si>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</si>
  <si>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</si>
  <si>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</si>
  <si>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</si>
  <si>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</si>
  <si>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</si>
  <si>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</si>
  <si>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</si>
  <si>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</si>
  <si>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</si>
  <si>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</si>
  <si>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</si>
  <si>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</si>
  <si>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</si>
  <si>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</si>
  <si>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</si>
  <si>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</si>
  <si>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</si>
  <si>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</si>
  <si>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</si>
  <si>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</si>
  <si>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</si>
  <si>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</si>
  <si>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</si>
  <si>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</si>
  <si>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</si>
  <si>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</si>
  <si>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</si>
  <si>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J05</t>
  </si>
  <si>
    <t>J06</t>
  </si>
  <si>
    <t>J07</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</si>
  <si>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</si>
  <si>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</si>
  <si>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</si>
  <si>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</si>
  <si>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</si>
  <si>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</si>
  <si>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</si>
  <si>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</si>
  <si>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</si>
  <si>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</si>
  <si>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</si>
  <si>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</si>
  <si>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</si>
  <si>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</si>
  <si>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</si>
  <si>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</si>
  <si>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</si>
  <si>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</si>
  <si>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</si>
  <si>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</si>
  <si>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BUS_READ_TOTAL_CMG1</t>
  </si>
  <si>
    <t>BUS_READ_TOTAL_CMG2</t>
  </si>
  <si>
    <t>IREG_SPEC</t>
  </si>
  <si>
    <t>BUS_READ_TOTAL_CMG3</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</si>
  <si>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</si>
  <si>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</si>
  <si>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</si>
  <si>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</si>
  <si>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</si>
  <si>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</si>
  <si>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</si>
  <si>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</si>
  <si>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</si>
  <si>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</si>
  <si>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</si>
  <si>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</si>
  <si>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</si>
  <si>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</si>
  <si>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</si>
  <si>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</si>
  <si>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</si>
  <si>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</si>
  <si>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</si>
  <si>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</si>
  <si>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</si>
  <si>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</si>
  <si>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</si>
  <si>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</si>
  <si>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</si>
  <si>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</si>
  <si>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</si>
  <si>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</si>
  <si>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</si>
  <si>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</si>
  <si>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</si>
  <si>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</si>
  <si>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</si>
  <si>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</si>
  <si>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</si>
  <si>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</si>
  <si>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</si>
  <si>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</si>
  <si>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</si>
  <si>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</si>
  <si>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</si>
  <si>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</si>
  <si>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</si>
  <si>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</si>
  <si>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</si>
  <si>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</si>
  <si>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</si>
  <si>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</si>
  <si>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</si>
  <si>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</si>
  <si>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</si>
  <si>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</si>
  <si>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</si>
  <si>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</si>
  <si>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</si>
  <si>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</si>
  <si>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</si>
  <si>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</si>
  <si>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</si>
  <si>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</si>
  <si>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</si>
  <si>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</si>
  <si>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</si>
  <si>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</si>
  <si>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</si>
  <si>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</si>
  <si>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</si>
  <si>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</si>
  <si>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</si>
  <si>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</si>
  <si>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</si>
  <si>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</si>
  <si>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</si>
  <si>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</si>
  <si>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</si>
  <si>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</si>
  <si>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</si>
  <si>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</si>
  <si>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</si>
  <si>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</si>
  <si>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</si>
  <si>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</si>
  <si>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</si>
  <si>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</si>
  <si>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</si>
  <si>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</si>
  <si>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</si>
  <si>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</si>
  <si>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</si>
  <si>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</si>
  <si>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</si>
  <si>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</si>
  <si>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</si>
  <si>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</si>
  <si>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</si>
  <si>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</si>
  <si>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</si>
  <si>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</si>
  <si>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</si>
  <si>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</si>
  <si>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</si>
  <si>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</si>
  <si>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</si>
  <si>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</si>
  <si>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</si>
  <si>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</si>
  <si>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</si>
  <si>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</si>
  <si>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</si>
  <si>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</si>
  <si>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</si>
  <si>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</si>
  <si>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</si>
  <si>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</si>
  <si>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</si>
  <si>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</si>
  <si>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</si>
  <si>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</si>
  <si>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</si>
  <si>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</si>
  <si>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</si>
  <si>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</si>
  <si>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</si>
  <si>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</si>
  <si>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</si>
  <si>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</si>
  <si>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</si>
  <si>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</si>
  <si>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</si>
  <si>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</si>
  <si>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</si>
  <si>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</si>
  <si>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</si>
  <si>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</si>
  <si>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</si>
  <si>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</si>
  <si>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</si>
  <si>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</si>
  <si>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</si>
  <si>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</si>
  <si>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</si>
  <si>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</si>
  <si>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</si>
  <si>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</si>
  <si>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</si>
  <si>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</si>
  <si>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</si>
  <si>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</si>
  <si>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</si>
  <si>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</si>
  <si>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</si>
  <si>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</si>
  <si>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</si>
  <si>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</si>
  <si>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</si>
  <si>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</si>
  <si>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</si>
  <si>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</si>
  <si>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</si>
  <si>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</si>
  <si>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</si>
  <si>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</si>
  <si>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</si>
  <si>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</si>
  <si>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</si>
  <si>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</si>
  <si>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</si>
  <si>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</si>
  <si>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</si>
  <si>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</si>
  <si>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</si>
  <si>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</si>
  <si>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</si>
  <si>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</si>
  <si>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</si>
  <si>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</si>
  <si>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</si>
  <si>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</si>
  <si>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</si>
  <si>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</si>
  <si>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</si>
  <si>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</si>
  <si>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</si>
  <si>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</si>
  <si>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</si>
  <si>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</si>
  <si>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</si>
  <si>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</si>
  <si>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</si>
  <si>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</si>
  <si>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</si>
  <si>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</si>
  <si>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</si>
  <si>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</si>
  <si>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</si>
  <si>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</si>
  <si>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</si>
  <si>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</si>
  <si>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</si>
  <si>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</si>
  <si>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</si>
  <si>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</si>
  <si>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</si>
  <si>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</si>
  <si>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</si>
  <si>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</si>
  <si>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</si>
  <si>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</si>
  <si>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</si>
  <si>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</si>
  <si>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</si>
  <si>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</si>
  <si>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</si>
  <si>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</si>
  <si>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</si>
  <si>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</si>
  <si>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</si>
  <si>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</si>
  <si>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</si>
  <si>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</si>
  <si>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</si>
  <si>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</si>
  <si>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</si>
  <si>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</si>
  <si>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</si>
  <si>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</si>
  <si>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</si>
  <si>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</si>
  <si>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</si>
  <si>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</si>
  <si>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</si>
  <si>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</si>
  <si>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</si>
  <si>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</si>
  <si>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</si>
  <si>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</si>
  <si>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</si>
  <si>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</si>
  <si>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</si>
  <si>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</si>
  <si>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</si>
  <si>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</si>
  <si>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</si>
  <si>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</si>
  <si>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</si>
  <si>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</si>
  <si>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</si>
  <si>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</si>
  <si>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</si>
  <si>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</si>
  <si>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</si>
  <si>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</si>
  <si>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</si>
  <si>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</si>
  <si>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</si>
  <si>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</si>
  <si>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</si>
  <si>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</si>
  <si>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</si>
  <si>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</si>
  <si>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</si>
  <si>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</si>
  <si>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</si>
  <si>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</si>
  <si>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</si>
  <si>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</si>
  <si>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</si>
  <si>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</si>
  <si>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</si>
  <si>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</si>
  <si>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</si>
  <si>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</si>
  <si>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</si>
  <si>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</si>
  <si>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</si>
  <si>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</si>
  <si>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</si>
  <si>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</si>
  <si>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</si>
  <si>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</si>
  <si>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</si>
  <si>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</si>
  <si>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</si>
  <si>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</si>
  <si>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</si>
  <si>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</si>
  <si>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</si>
  <si>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</si>
  <si>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</si>
  <si>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</si>
  <si>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</si>
  <si>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</si>
  <si>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</si>
  <si>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</si>
  <si>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</si>
  <si>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</si>
  <si>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</si>
  <si>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</si>
  <si>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</si>
  <si>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</si>
  <si>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</si>
  <si>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</si>
  <si>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</si>
  <si>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</si>
  <si>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</si>
  <si>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</si>
  <si>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</si>
  <si>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</si>
  <si>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</si>
  <si>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</si>
  <si>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</si>
  <si>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</si>
  <si>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</si>
  <si>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</si>
  <si>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</si>
  <si>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</si>
  <si>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</si>
  <si>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</si>
  <si>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</si>
  <si>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</si>
  <si>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</si>
  <si>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</si>
  <si>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</si>
  <si>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</si>
  <si>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</si>
  <si>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</si>
  <si>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</si>
  <si>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</si>
  <si>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</si>
  <si>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</si>
  <si>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</si>
  <si>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</si>
  <si>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</si>
  <si>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</si>
  <si>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</si>
  <si>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</si>
  <si>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</si>
  <si>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</si>
  <si>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</si>
  <si>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</si>
  <si>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</si>
  <si>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</si>
  <si>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</si>
  <si>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</si>
  <si>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</si>
  <si>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</si>
  <si>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</si>
  <si>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</si>
  <si>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</si>
  <si>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</si>
  <si>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</si>
  <si>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</si>
  <si>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</si>
  <si>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</si>
  <si>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</si>
  <si>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</si>
  <si>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</si>
  <si>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</si>
  <si>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</si>
  <si>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</si>
  <si>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</si>
  <si>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</si>
  <si>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</si>
  <si>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</si>
  <si>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</si>
  <si>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</si>
  <si>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</si>
  <si>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</si>
  <si>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</si>
  <si>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</si>
  <si>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</si>
  <si>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</si>
  <si>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</si>
  <si>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</si>
  <si>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</si>
  <si>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</si>
  <si>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</si>
  <si>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</si>
  <si>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</si>
  <si>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</si>
  <si>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</si>
  <si>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</si>
  <si>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</si>
  <si>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</si>
  <si>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</si>
  <si>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</si>
  <si>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</si>
  <si>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</si>
  <si>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</si>
  <si>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</si>
  <si>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</si>
  <si>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</si>
  <si>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</si>
  <si>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</si>
  <si>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</si>
  <si>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</si>
  <si>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</si>
  <si>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</si>
  <si>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</si>
  <si>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</si>
  <si>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</si>
  <si>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</si>
  <si>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</si>
  <si>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</si>
  <si>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</si>
  <si>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</si>
  <si>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</si>
  <si>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</si>
  <si>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</si>
  <si>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</si>
  <si>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</si>
  <si>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</si>
  <si>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</si>
  <si>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</si>
  <si>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</si>
  <si>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</si>
  <si>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</si>
  <si>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</si>
  <si>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</si>
  <si>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</si>
  <si>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</si>
  <si>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</si>
  <si>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</si>
  <si>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</si>
  <si>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</si>
  <si>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</si>
  <si>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</si>
  <si>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</si>
  <si>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</si>
  <si>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</si>
  <si>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</si>
  <si>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</si>
  <si>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</si>
  <si>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</si>
  <si>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</si>
  <si>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</si>
  <si>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</si>
  <si>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</si>
  <si>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</si>
  <si>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</si>
  <si>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</si>
  <si>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</si>
  <si>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</si>
  <si>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</si>
  <si>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</si>
  <si>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</si>
  <si>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</si>
  <si>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</si>
  <si>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</si>
  <si>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</si>
  <si>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</si>
  <si>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</si>
  <si>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</si>
  <si>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</si>
  <si>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</si>
  <si>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</si>
  <si>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</si>
  <si>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</si>
  <si>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</si>
  <si>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</si>
  <si>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</si>
  <si>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</si>
  <si>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</si>
  <si>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</si>
  <si>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</si>
  <si>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</si>
  <si>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</si>
  <si>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</si>
  <si>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</si>
  <si>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</si>
  <si>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</si>
  <si>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</si>
  <si>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</si>
  <si>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</si>
  <si>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</si>
  <si>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</si>
  <si>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</si>
  <si>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</si>
  <si>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</si>
  <si>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</si>
  <si>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</si>
  <si>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</si>
  <si>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</si>
  <si>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</si>
  <si>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</si>
  <si>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</si>
  <si>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</si>
  <si>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</si>
  <si>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</si>
  <si>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</si>
  <si>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</si>
  <si>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</si>
  <si>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</si>
  <si>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</si>
  <si>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</si>
  <si>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</si>
  <si>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</si>
  <si>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</si>
  <si>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</si>
  <si>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</si>
  <si>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</si>
  <si>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</si>
  <si>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</si>
  <si>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</si>
  <si>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</si>
  <si>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</si>
  <si>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</si>
  <si>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</si>
  <si>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</si>
  <si>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</si>
  <si>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</si>
  <si>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</si>
  <si>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</si>
  <si>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</si>
  <si>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</si>
  <si>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</si>
  <si>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</si>
  <si>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</si>
  <si>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</si>
  <si>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</si>
  <si>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</si>
  <si>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</si>
  <si>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</si>
  <si>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</si>
  <si>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</si>
  <si>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</si>
  <si>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</si>
  <si>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</si>
  <si>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</si>
  <si>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</si>
  <si>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</si>
  <si>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</si>
  <si>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</si>
  <si>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</si>
  <si>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</si>
  <si>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</si>
  <si>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</si>
  <si>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</si>
  <si>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</si>
  <si>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</si>
  <si>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</si>
  <si>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</si>
  <si>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</si>
  <si>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</si>
  <si>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</si>
  <si>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</si>
  <si>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</si>
  <si>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</si>
  <si>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</si>
  <si>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</si>
  <si>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</si>
  <si>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</si>
  <si>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</si>
  <si>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</si>
  <si>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</si>
  <si>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</si>
  <si>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</si>
  <si>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</si>
  <si>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</si>
  <si>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</si>
  <si>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</si>
  <si>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</si>
  <si>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</si>
  <si>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</si>
  <si>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</si>
  <si>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</si>
  <si>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</si>
  <si>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</si>
  <si>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</si>
  <si>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</si>
  <si>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</si>
  <si>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</si>
  <si>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</si>
  <si>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</si>
  <si>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</si>
  <si>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</si>
  <si>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</si>
  <si>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</si>
  <si>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</si>
  <si>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</si>
  <si>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</si>
  <si>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</si>
  <si>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</si>
  <si>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</si>
  <si>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</si>
  <si>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</si>
  <si>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</si>
  <si>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</si>
  <si>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</si>
  <si>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</si>
  <si>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</si>
  <si>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</si>
  <si>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</si>
  <si>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</si>
  <si>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</si>
  <si>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</si>
  <si>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</si>
  <si>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</si>
  <si>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</si>
  <si>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</si>
  <si>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</si>
  <si>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</si>
  <si>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</si>
  <si>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</si>
  <si>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</si>
  <si>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</si>
  <si>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</si>
  <si>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</si>
  <si>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</si>
  <si>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</si>
  <si>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</si>
  <si>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</si>
  <si>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</si>
  <si>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</si>
  <si>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</si>
  <si>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</si>
  <si>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</si>
  <si>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</si>
  <si>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</si>
  <si>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</si>
  <si>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</si>
  <si>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</si>
  <si>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</si>
  <si>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</si>
  <si>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</si>
  <si>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</si>
  <si>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</si>
  <si>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</si>
  <si>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</si>
  <si>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</si>
  <si>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</si>
  <si>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</si>
  <si>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</si>
  <si>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</si>
  <si>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</si>
  <si>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</si>
  <si>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</si>
  <si>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</si>
  <si>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</si>
  <si>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</si>
  <si>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</si>
  <si>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</si>
  <si>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</si>
  <si>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</si>
  <si>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</si>
  <si>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</si>
  <si>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</si>
  <si>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</si>
  <si>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</si>
  <si>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</si>
  <si>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</si>
  <si>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</si>
  <si>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</si>
  <si>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</si>
  <si>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</si>
  <si>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</si>
  <si>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</si>
  <si>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</si>
  <si>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</si>
  <si>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</si>
  <si>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</si>
  <si>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</si>
  <si>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</si>
  <si>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</si>
  <si>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</si>
  <si>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</si>
  <si>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</si>
  <si>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</si>
  <si>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</si>
  <si>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</si>
  <si>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</si>
  <si>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</si>
  <si>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</si>
  <si>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</si>
  <si>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</si>
  <si>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</si>
  <si>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</si>
  <si>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</si>
  <si>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</si>
  <si>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</si>
  <si>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</si>
  <si>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</si>
  <si>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</si>
  <si>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</si>
  <si>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</si>
  <si>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</si>
  <si>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</si>
  <si>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</si>
  <si>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</si>
  <si>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</si>
  <si>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</si>
  <si>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</si>
  <si>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</si>
  <si>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</si>
  <si>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</si>
  <si>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</si>
  <si>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</si>
  <si>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</si>
  <si>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</si>
  <si>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</si>
  <si>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</si>
  <si>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</si>
  <si>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</si>
  <si>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</si>
  <si>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</si>
  <si>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BUS_READ_TOTAL_CMG0</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</si>
  <si>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</si>
  <si>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</si>
  <si>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</si>
  <si>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</si>
  <si>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</si>
  <si>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</si>
  <si>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</si>
  <si>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</si>
  <si>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</si>
  <si>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</si>
  <si>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</si>
  <si>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</si>
  <si>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</si>
  <si>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</si>
  <si>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</si>
  <si>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</si>
  <si>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</si>
  <si>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</si>
  <si>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</si>
  <si>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</si>
  <si>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</si>
  <si>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</si>
  <si>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</si>
  <si>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</si>
  <si>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</si>
  <si>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</si>
  <si>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</si>
  <si>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</si>
  <si>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</si>
  <si>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</si>
  <si>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</si>
  <si>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</si>
  <si>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</si>
  <si>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</si>
  <si>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</si>
  <si>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</si>
  <si>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</si>
  <si>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</si>
  <si>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</si>
  <si>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</si>
  <si>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</si>
  <si>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</si>
  <si>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</si>
  <si>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</si>
  <si>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</si>
  <si>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</si>
  <si>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</si>
  <si>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</si>
  <si>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</si>
  <si>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</si>
  <si>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</si>
  <si>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</si>
  <si>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</si>
  <si>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</si>
  <si>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</si>
  <si>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</si>
  <si>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</si>
  <si>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</si>
  <si>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</si>
  <si>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</si>
  <si>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</si>
  <si>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</si>
  <si>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</si>
  <si>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</si>
  <si>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</si>
  <si>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</si>
  <si>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</si>
  <si>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</si>
  <si>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</si>
  <si>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</si>
  <si>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</si>
  <si>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</si>
  <si>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</si>
  <si>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</si>
  <si>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</si>
  <si>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</si>
  <si>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</si>
  <si>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</si>
  <si>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</si>
  <si>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</si>
  <si>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</si>
  <si>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</si>
  <si>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</si>
  <si>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</si>
  <si>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</si>
  <si>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</si>
  <si>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</si>
  <si>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</si>
  <si>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</si>
  <si>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</si>
  <si>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</si>
  <si>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</si>
  <si>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</si>
  <si>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</si>
  <si>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</si>
  <si>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</si>
  <si>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</si>
  <si>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</si>
  <si>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</si>
  <si>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</si>
  <si>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</si>
  <si>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</si>
  <si>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</si>
  <si>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</si>
  <si>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</si>
  <si>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</si>
  <si>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</si>
  <si>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</si>
  <si>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</si>
  <si>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</si>
  <si>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</si>
  <si>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</si>
  <si>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</si>
  <si>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</si>
  <si>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</si>
  <si>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</si>
  <si>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</si>
  <si>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</si>
  <si>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</si>
  <si>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</si>
  <si>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</si>
  <si>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</si>
  <si>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</si>
  <si>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</si>
  <si>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</si>
  <si>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</si>
  <si>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</si>
  <si>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</si>
  <si>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</si>
  <si>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</si>
  <si>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</si>
  <si>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</si>
  <si>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</si>
  <si>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</si>
  <si>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</si>
  <si>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</si>
  <si>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</si>
  <si>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</si>
  <si>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</si>
  <si>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</si>
  <si>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</si>
  <si>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</si>
  <si>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</si>
  <si>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</si>
  <si>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</si>
  <si>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</si>
  <si>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</si>
  <si>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</si>
  <si>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</si>
  <si>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</si>
  <si>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</si>
  <si>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</si>
  <si>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</si>
  <si>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</si>
  <si>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</si>
  <si>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</si>
  <si>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</si>
  <si>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</si>
  <si>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</si>
  <si>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</si>
  <si>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</si>
  <si>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</si>
  <si>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</si>
  <si>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</si>
  <si>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</si>
  <si>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</si>
  <si>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</si>
  <si>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</si>
  <si>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</si>
  <si>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</si>
  <si>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</si>
  <si>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</si>
  <si>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</si>
  <si>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</si>
  <si>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</si>
  <si>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</si>
  <si>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</si>
  <si>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</si>
  <si>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</si>
  <si>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</si>
  <si>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</si>
  <si>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</si>
  <si>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</si>
  <si>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</si>
  <si>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</si>
  <si>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</si>
  <si>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</si>
  <si>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</si>
  <si>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</si>
  <si>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</si>
  <si>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</si>
  <si>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</si>
  <si>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</si>
  <si>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</si>
  <si>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</si>
  <si>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</si>
  <si>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</si>
  <si>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</si>
  <si>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</si>
  <si>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</si>
  <si>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</si>
  <si>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</si>
  <si>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</si>
  <si>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</si>
  <si>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</si>
  <si>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</si>
  <si>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</si>
  <si>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</si>
  <si>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</si>
  <si>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</si>
  <si>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</si>
  <si>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</si>
  <si>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</si>
  <si>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</si>
  <si>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</si>
  <si>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</si>
  <si>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</si>
  <si>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</si>
  <si>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</si>
  <si>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</si>
  <si>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</si>
  <si>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</si>
  <si>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</si>
  <si>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</si>
  <si>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</si>
  <si>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</si>
  <si>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</si>
  <si>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</si>
  <si>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</si>
  <si>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</si>
  <si>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</si>
  <si>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</si>
  <si>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</si>
  <si>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</si>
  <si>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</si>
  <si>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</si>
  <si>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</si>
  <si>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</si>
  <si>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</si>
  <si>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</si>
  <si>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</si>
  <si>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</si>
  <si>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</si>
  <si>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</si>
  <si>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</si>
  <si>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</si>
  <si>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</si>
  <si>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</si>
  <si>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</si>
  <si>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</si>
  <si>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</si>
  <si>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</si>
  <si>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</si>
  <si>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</si>
  <si>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</si>
  <si>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</si>
  <si>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</si>
  <si>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</si>
  <si>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</si>
  <si>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</si>
  <si>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</si>
  <si>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</si>
  <si>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</si>
  <si>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</si>
  <si>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</si>
  <si>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</si>
  <si>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</si>
  <si>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</si>
  <si>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</si>
  <si>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</si>
  <si>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</si>
  <si>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</si>
  <si>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</si>
  <si>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</si>
  <si>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</si>
  <si>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</si>
  <si>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</si>
  <si>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</si>
  <si>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</si>
  <si>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</si>
  <si>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</si>
  <si>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</si>
  <si>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</si>
  <si>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</si>
  <si>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</si>
  <si>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</si>
  <si>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</si>
  <si>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</si>
  <si>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</si>
  <si>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</si>
  <si>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</si>
  <si>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</si>
  <si>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</si>
  <si>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</si>
  <si>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</si>
  <si>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</si>
  <si>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</si>
  <si>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</si>
  <si>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</si>
  <si>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</si>
  <si>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</si>
  <si>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</si>
  <si>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</si>
  <si>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</si>
  <si>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</si>
  <si>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</si>
  <si>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</si>
  <si>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</si>
  <si>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</si>
  <si>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</si>
  <si>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</si>
  <si>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</si>
  <si>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</si>
  <si>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</si>
  <si>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</si>
  <si>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</si>
  <si>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</si>
  <si>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</si>
  <si>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</si>
  <si>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</si>
  <si>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</si>
  <si>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</si>
  <si>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</si>
  <si>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</si>
  <si>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</si>
  <si>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</si>
  <si>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</si>
  <si>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</si>
  <si>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</si>
  <si>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</si>
  <si>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</si>
  <si>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</si>
  <si>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</si>
  <si>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</si>
  <si>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</si>
  <si>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</si>
  <si>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</si>
  <si>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</si>
  <si>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</si>
  <si>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</si>
  <si>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</si>
  <si>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</si>
  <si>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</si>
  <si>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</si>
  <si>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</si>
  <si>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</si>
  <si>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</si>
  <si>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</si>
  <si>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</si>
  <si>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</si>
  <si>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</si>
  <si>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</si>
  <si>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</si>
  <si>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</si>
  <si>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</si>
  <si>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</si>
  <si>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</si>
  <si>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</si>
  <si>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</si>
  <si>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</si>
  <si>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</si>
  <si>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</si>
  <si>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</si>
  <si>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</si>
  <si>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</si>
  <si>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</si>
  <si>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</si>
  <si>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</si>
  <si>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</si>
  <si>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</si>
  <si>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</si>
  <si>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</si>
  <si>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</si>
  <si>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</si>
  <si>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</si>
  <si>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</si>
  <si>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</si>
  <si>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</si>
  <si>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</si>
  <si>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</si>
  <si>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</si>
  <si>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</si>
  <si>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</si>
  <si>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</si>
  <si>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</si>
  <si>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</si>
  <si>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</si>
  <si>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</si>
  <si>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</si>
  <si>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</si>
  <si>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</si>
  <si>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</si>
  <si>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</si>
  <si>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</si>
  <si>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</si>
  <si>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</si>
  <si>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</si>
  <si>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</si>
  <si>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</si>
  <si>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</si>
  <si>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</si>
  <si>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</si>
  <si>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</si>
  <si>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</si>
  <si>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</si>
  <si>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</si>
  <si>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</si>
  <si>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</si>
  <si>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</si>
  <si>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</si>
  <si>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</si>
  <si>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</si>
  <si>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</si>
  <si>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</si>
  <si>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</si>
  <si>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</si>
  <si>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</si>
  <si>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</si>
  <si>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</si>
  <si>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</si>
  <si>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</si>
  <si>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</si>
  <si>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</si>
  <si>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</si>
  <si>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</si>
  <si>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</si>
  <si>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</si>
  <si>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</si>
  <si>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</si>
  <si>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</si>
  <si>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</si>
  <si>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</si>
  <si>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</si>
  <si>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</si>
  <si>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</si>
  <si>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</si>
  <si>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</si>
  <si>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</si>
  <si>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</si>
  <si>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</si>
  <si>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</si>
  <si>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</si>
  <si>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</si>
  <si>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</si>
  <si>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</si>
  <si>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</si>
  <si>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</si>
  <si>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</si>
  <si>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</si>
  <si>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</si>
  <si>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</si>
  <si>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</si>
  <si>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</si>
  <si>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</si>
  <si>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</si>
  <si>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</si>
  <si>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</si>
  <si>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</si>
  <si>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</si>
  <si>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</si>
  <si>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</si>
  <si>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</si>
  <si>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</si>
  <si>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</si>
  <si>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</si>
  <si>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</si>
  <si>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</si>
  <si>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</si>
  <si>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</si>
  <si>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</si>
  <si>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0x0310</t>
    <phoneticPr fontId="26"/>
  </si>
  <si>
    <t>0x0311</t>
    <phoneticPr fontId="26"/>
  </si>
  <si>
    <t>0x0312</t>
    <phoneticPr fontId="26"/>
  </si>
  <si>
    <t>0x0313</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</si>
  <si>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</si>
  <si>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</si>
  <si>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</si>
  <si>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</si>
  <si>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</si>
  <si>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</si>
  <si>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</si>
  <si>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</si>
  <si>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</si>
  <si>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</si>
  <si>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</si>
  <si>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</si>
  <si>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</si>
  <si>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</si>
  <si>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</si>
  <si>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</si>
  <si>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</si>
  <si>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</si>
  <si>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</si>
  <si>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</si>
  <si>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</si>
  <si>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</si>
  <si>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</si>
  <si>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</si>
  <si>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</si>
  <si>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</si>
  <si>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</si>
  <si>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</si>
  <si>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</si>
  <si>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</si>
  <si>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</si>
  <si>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</si>
  <si>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</si>
  <si>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</si>
  <si>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</si>
  <si>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</si>
  <si>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</si>
  <si>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</si>
  <si>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</si>
  <si>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</si>
  <si>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</si>
  <si>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</si>
  <si>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</si>
  <si>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</si>
  <si>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</si>
  <si>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</si>
  <si>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</si>
  <si>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</si>
  <si>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</si>
  <si>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</si>
  <si>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</si>
  <si>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</si>
  <si>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</si>
  <si>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</si>
  <si>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</si>
  <si>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</si>
  <si>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</si>
  <si>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</si>
  <si>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</si>
  <si>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</si>
  <si>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</si>
  <si>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</si>
  <si>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</si>
  <si>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</si>
  <si>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</si>
  <si>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</si>
  <si>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</si>
  <si>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</si>
  <si>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</si>
  <si>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</si>
  <si>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</si>
  <si>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</si>
  <si>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</si>
  <si>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</si>
  <si>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</si>
  <si>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</si>
  <si>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</si>
  <si>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</si>
  <si>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</si>
  <si>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</si>
  <si>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</si>
  <si>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</si>
  <si>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</si>
  <si>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</si>
  <si>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</si>
  <si>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</si>
  <si>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</si>
  <si>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</si>
  <si>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</si>
  <si>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</si>
  <si>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</si>
  <si>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</si>
  <si>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</si>
  <si>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</si>
  <si>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</si>
  <si>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</si>
  <si>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</si>
  <si>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</si>
  <si>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</si>
  <si>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</si>
  <si>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</si>
  <si>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</si>
  <si>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</si>
  <si>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</si>
  <si>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</si>
  <si>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</si>
  <si>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</si>
  <si>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</si>
  <si>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</si>
  <si>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</si>
  <si>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</si>
  <si>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</si>
  <si>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</si>
  <si>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</si>
  <si>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</si>
  <si>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</si>
  <si>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</si>
  <si>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</si>
  <si>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</si>
  <si>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</si>
  <si>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</si>
  <si>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</si>
  <si>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</si>
  <si>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</si>
  <si>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</si>
  <si>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</si>
  <si>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</si>
  <si>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</si>
  <si>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</si>
  <si>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</si>
  <si>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</si>
  <si>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</si>
  <si>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</si>
  <si>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</si>
  <si>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</si>
  <si>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</si>
  <si>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</si>
  <si>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</si>
  <si>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</si>
  <si>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</si>
  <si>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</si>
  <si>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</si>
  <si>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</si>
  <si>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</si>
  <si>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</si>
  <si>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</si>
  <si>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</si>
  <si>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</si>
  <si>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</si>
  <si>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</si>
  <si>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</si>
  <si>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</si>
  <si>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</si>
  <si>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</si>
  <si>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</si>
  <si>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</si>
  <si>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</si>
  <si>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</si>
  <si>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</si>
  <si>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SIMD instruction ratio(/Effective instruction)</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</si>
  <si>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</si>
  <si>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</si>
  <si>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</si>
  <si>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</si>
  <si>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</si>
  <si>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</si>
  <si>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</si>
  <si>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</si>
  <si>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</si>
  <si>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</si>
  <si>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</si>
  <si>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</si>
  <si>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</si>
  <si>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</si>
  <si>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</si>
  <si>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</si>
  <si>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</si>
  <si>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</si>
  <si>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</si>
  <si>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</si>
  <si>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</si>
  <si>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</si>
  <si>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</si>
  <si>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</si>
  <si>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</si>
  <si>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</si>
  <si>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</si>
  <si>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</si>
  <si>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</si>
  <si>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</si>
  <si>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</si>
  <si>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</si>
  <si>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</si>
  <si>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</si>
  <si>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</si>
  <si>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</si>
  <si>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</si>
  <si>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</si>
  <si>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</si>
  <si>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</si>
  <si>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</si>
  <si>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</si>
  <si>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</si>
  <si>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</si>
  <si>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</si>
  <si>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MeanTime</t>
  </si>
  <si>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</si>
  <si>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</si>
  <si>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</si>
  <si>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</si>
  <si>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</si>
  <si>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</si>
  <si>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</si>
  <si>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</si>
  <si>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</si>
  <si>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</si>
  <si>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</si>
  <si>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</si>
  <si>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</si>
  <si>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</si>
  <si>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</si>
  <si>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</si>
  <si>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</si>
  <si>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</si>
  <si>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</si>
  <si>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</si>
  <si>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</si>
  <si>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</si>
  <si>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</si>
  <si>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</si>
  <si>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</si>
  <si>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</si>
  <si>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</si>
  <si>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</si>
  <si>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</si>
  <si>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</si>
  <si>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</si>
  <si>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</si>
  <si>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</si>
  <si>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</si>
  <si>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</si>
  <si>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</si>
  <si>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</si>
  <si>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</si>
  <si>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</si>
  <si>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</si>
  <si>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</si>
  <si>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</si>
  <si>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</si>
  <si>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</si>
  <si>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</si>
  <si>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</si>
  <si>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</si>
  <si>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</si>
  <si>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</si>
  <si>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</si>
  <si>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</si>
  <si>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</si>
  <si>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</si>
  <si>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</si>
  <si>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</si>
  <si>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</si>
  <si>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</si>
  <si>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</si>
  <si>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</si>
  <si>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</si>
  <si>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</si>
  <si>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</si>
  <si>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</si>
  <si>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</si>
  <si>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</si>
  <si>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</si>
  <si>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</si>
  <si>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</si>
  <si>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</si>
  <si>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</si>
  <si>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</si>
  <si>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</si>
  <si>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</si>
  <si>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</si>
  <si>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</si>
  <si>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</si>
  <si>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</si>
  <si>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</si>
  <si>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</si>
  <si>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</si>
  <si>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</si>
  <si>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</si>
  <si>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</si>
  <si>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</si>
  <si>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</si>
  <si>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</si>
  <si>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</si>
  <si>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</si>
  <si>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</si>
  <si>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</si>
  <si>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</si>
  <si>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</si>
  <si>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</si>
  <si>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</si>
  <si>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</si>
  <si>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</si>
  <si>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</si>
  <si>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</si>
  <si>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</si>
  <si>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</si>
  <si>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</si>
  <si>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</si>
  <si>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</si>
  <si>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</si>
  <si>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</si>
  <si>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</si>
  <si>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</si>
  <si>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</si>
  <si>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</si>
  <si>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</si>
  <si>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</si>
  <si>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</si>
  <si>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</si>
  <si>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</si>
  <si>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</si>
  <si>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</si>
  <si>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</si>
  <si>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</si>
  <si>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</si>
  <si>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</si>
  <si>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</si>
  <si>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</si>
  <si>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</si>
  <si>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</si>
  <si>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</si>
  <si>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</si>
  <si>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</si>
  <si>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</si>
  <si>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</si>
  <si>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</si>
  <si>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</si>
  <si>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</si>
  <si>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</si>
  <si>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</si>
  <si>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</si>
  <si>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</si>
  <si>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</si>
  <si>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</si>
  <si>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</si>
  <si>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</si>
  <si>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</si>
  <si>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</si>
  <si>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</si>
  <si>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</si>
  <si>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</si>
  <si>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</si>
  <si>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</si>
  <si>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</si>
  <si>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</si>
  <si>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</si>
  <si>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</si>
  <si>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</si>
  <si>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</si>
  <si>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</si>
  <si>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</si>
  <si>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</si>
  <si>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</si>
  <si>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</si>
  <si>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</si>
  <si>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</si>
  <si>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</si>
  <si>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</si>
  <si>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</si>
  <si>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</si>
  <si>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</si>
  <si>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</si>
  <si>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</si>
  <si>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</si>
  <si>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</si>
  <si>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</si>
  <si>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</si>
  <si>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</si>
  <si>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</si>
  <si>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</si>
  <si>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</si>
  <si>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</si>
  <si>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</si>
  <si>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</si>
  <si>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</si>
  <si>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</si>
  <si>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</si>
  <si>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</si>
  <si>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</si>
  <si>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</si>
  <si>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</si>
  <si>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</si>
  <si>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</si>
  <si>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</si>
  <si>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</si>
  <si>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</si>
  <si>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</si>
  <si>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</si>
  <si>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</si>
  <si>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</si>
  <si>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</si>
  <si>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</si>
  <si>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</si>
  <si>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</si>
  <si>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</si>
  <si>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</si>
  <si>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</si>
  <si>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</si>
  <si>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</si>
  <si>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</si>
  <si>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</si>
  <si>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</si>
  <si>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</si>
  <si>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</si>
  <si>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</si>
  <si>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</si>
  <si>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</si>
  <si>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</si>
  <si>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</si>
  <si>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</si>
  <si>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</si>
  <si>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</si>
  <si>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</si>
  <si>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</si>
  <si>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</si>
  <si>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</si>
  <si>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</si>
  <si>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</si>
  <si>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</si>
  <si>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</si>
  <si>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</si>
  <si>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</si>
  <si>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</si>
  <si>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</si>
  <si>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</si>
  <si>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</si>
  <si>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</si>
  <si>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</si>
  <si>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</si>
  <si>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</si>
  <si>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</si>
  <si>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</si>
  <si>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</si>
  <si>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</si>
  <si>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</si>
  <si>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</si>
  <si>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</si>
  <si>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</si>
  <si>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</si>
  <si>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4.1.0</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</si>
  <si>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</si>
  <si>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</si>
  <si>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</si>
  <si>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</si>
  <si>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</si>
  <si>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</si>
  <si>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</si>
  <si>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</si>
  <si>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</si>
  <si>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</si>
  <si>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</si>
  <si>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</si>
  <si>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</si>
  <si>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</si>
  <si>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</si>
  <si>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</si>
  <si>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</si>
  <si>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</si>
  <si>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</si>
  <si>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</si>
  <si>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</si>
  <si>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</si>
  <si>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</si>
  <si>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</si>
  <si>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</si>
  <si>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</si>
  <si>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</si>
  <si>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</si>
  <si>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</si>
  <si>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</si>
  <si>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</si>
  <si>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</si>
  <si>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</si>
  <si>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</si>
  <si>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</si>
  <si>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</si>
  <si>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</si>
  <si>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</si>
  <si>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</si>
  <si>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</si>
  <si>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</si>
  <si>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</si>
  <si>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</si>
  <si>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</si>
  <si>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</si>
  <si>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</si>
  <si>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</si>
  <si>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</si>
  <si>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</si>
  <si>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</si>
  <si>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</si>
  <si>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</si>
  <si>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</si>
  <si>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</si>
  <si>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</si>
  <si>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</si>
  <si>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</si>
  <si>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</si>
  <si>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</si>
  <si>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</si>
  <si>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</si>
  <si>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</si>
  <si>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</si>
  <si>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</si>
  <si>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</si>
  <si>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</si>
  <si>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</si>
  <si>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</si>
  <si>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</si>
  <si>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</si>
  <si>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</si>
  <si>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</si>
  <si>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</si>
  <si>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</si>
  <si>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</si>
  <si>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</si>
  <si>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</si>
  <si>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</si>
  <si>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</si>
  <si>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</si>
  <si>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</si>
  <si>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</si>
  <si>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</si>
  <si>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</si>
  <si>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</si>
  <si>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</si>
  <si>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</si>
  <si>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</si>
  <si>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</si>
  <si>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</si>
  <si>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</si>
  <si>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</si>
  <si>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</si>
  <si>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</si>
  <si>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</si>
  <si>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</si>
  <si>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</si>
  <si>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</si>
  <si>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</si>
  <si>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</si>
  <si>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</si>
  <si>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</si>
  <si>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</si>
  <si>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</si>
  <si>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</si>
  <si>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</si>
  <si>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</si>
  <si>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</si>
  <si>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</si>
  <si>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</si>
  <si>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</si>
  <si>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</si>
  <si>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</si>
  <si>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</si>
  <si>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</si>
  <si>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</si>
  <si>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</si>
  <si>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</si>
  <si>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</si>
  <si>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</si>
  <si>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</si>
  <si>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</si>
  <si>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</si>
  <si>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</si>
  <si>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</si>
  <si>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</si>
  <si>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</si>
  <si>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</si>
  <si>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</si>
  <si>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</si>
  <si>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</si>
  <si>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</si>
  <si>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</si>
  <si>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</si>
  <si>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</si>
  <si>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</si>
  <si>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</si>
  <si>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</si>
  <si>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</si>
  <si>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</si>
  <si>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</si>
  <si>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</si>
  <si>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</si>
  <si>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</si>
  <si>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</si>
  <si>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</si>
  <si>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</si>
  <si>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</si>
  <si>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</si>
  <si>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</si>
  <si>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</si>
  <si>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</si>
  <si>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</si>
  <si>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</si>
  <si>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</si>
  <si>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</si>
  <si>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</si>
  <si>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</si>
  <si>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</si>
  <si>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</si>
  <si>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</si>
  <si>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</si>
  <si>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</si>
  <si>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</si>
  <si>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</si>
  <si>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</si>
  <si>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</si>
  <si>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</si>
  <si>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</si>
  <si>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</si>
  <si>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</si>
  <si>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</si>
  <si>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</si>
  <si>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</si>
  <si>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</si>
  <si>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</si>
  <si>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</si>
  <si>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</si>
  <si>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</si>
  <si>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</si>
  <si>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</si>
  <si>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</si>
  <si>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</si>
  <si>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</si>
  <si>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</si>
  <si>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</si>
  <si>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</si>
  <si>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</si>
  <si>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</si>
  <si>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</si>
  <si>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</si>
  <si>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</si>
  <si>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</si>
  <si>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</si>
  <si>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</si>
  <si>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</si>
  <si>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</si>
  <si>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</si>
  <si>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</si>
  <si>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</si>
  <si>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Es14-7</t>
    <phoneticPr fontId="26"/>
  </si>
  <si>
    <t>write</t>
    <phoneticPr fontId="26"/>
  </si>
  <si>
    <t>read</t>
    <phoneticPr fontId="26"/>
  </si>
  <si>
    <t>(153, 102, 255)</t>
    <phoneticPr fontId="26"/>
  </si>
  <si>
    <t>demand rate(L1D,L2 miss)</t>
    <phoneticPr fontId="28"/>
  </si>
  <si>
    <t>hardware prefetch rate (L1D,L2 miss)</t>
    <phoneticPr fontId="28"/>
  </si>
  <si>
    <t>software prefetch rate(L1D,L2 miss)</t>
    <phoneticPr fontId="28"/>
  </si>
  <si>
    <t>demand rate(L1D,L2 miss)</t>
    <phoneticPr fontId="28"/>
  </si>
  <si>
    <t>hardware prefetch rate and software prefetch rate (L1D,L2 miss)</t>
    <phoneticPr fontId="26"/>
  </si>
  <si>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</si>
  <si>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</si>
  <si>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</si>
  <si>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</si>
  <si>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</si>
  <si>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</si>
  <si>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</si>
  <si>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</si>
  <si>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</si>
  <si>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</si>
  <si>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</si>
  <si>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</si>
  <si>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</si>
  <si>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</si>
  <si>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</si>
  <si>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Creation date: 20200309</t>
    <phoneticPr fontId="2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</si>
</sst>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Red]&quot;¥&quot;\-#,##0"/>
    <numFmt numFmtId="176" formatCode="0.00_ "/>
    <numFmt numFmtId="177" formatCode="0.00000_ "/>
    <numFmt numFmtId="178" formatCode="0.0%"/>
    <numFmt numFmtId="179" formatCode="0_ "/>
    <numFmt numFmtId="180" formatCode="0.00000_);[Red]\(0.00000\)"/>
    <numFmt numFmtId="181" formatCode="0.00000%"/>
    <numFmt numFmtId="182" formatCode="0.000E+00"/>
    <numFmt numFmtId="183" formatCode="#,##0.000"/>
    <numFmt numFmtId="184" formatCode="0.000_);[Red]\(0.000\)"/>
    <numFmt numFmtId="185" formatCode="0.00.E+00"/>
  </numFmts>
  <fonts count="99"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3">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6" fontId="4" fillId="0" borderId="0" applyFont="0" applyFill="0" applyBorder="0" applyAlignment="0" applyProtection="0">
      <alignment vertical="center"/>
    </xf>
    <xf numFmtId="6" fontId="4" fillId="0" borderId="0" applyFont="0" applyFill="0" applyBorder="0" applyAlignment="0" applyProtection="0">
      <alignment vertical="center"/>
    </xf>
    <xf numFmtId="6" fontId="4" fillId="0" borderId="0" applyFont="0" applyFill="0" applyBorder="0" applyAlignment="0" applyProtection="0">
      <alignment vertical="center"/>
    </xf>
    <xf numFmtId="6" fontId="4" fillId="0" borderId="0" applyFont="0" applyFill="0" applyBorder="0" applyAlignment="0" applyProtection="0">
      <alignment vertical="center"/>
    </xf>
    <xf numFmtId="6" fontId="4" fillId="0" borderId="0" applyFont="0" applyFill="0" applyBorder="0" applyAlignment="0" applyProtection="0">
      <alignment vertical="center"/>
    </xf>
    <xf numFmtId="6" fontId="4" fillId="0" borderId="0" applyFont="0" applyFill="0" applyBorder="0" applyAlignment="0" applyProtection="0">
      <alignment vertical="center"/>
    </xf>
    <xf numFmtId="6" fontId="4" fillId="0" borderId="0" applyFont="0" applyFill="0" applyBorder="0" applyAlignment="0" applyProtection="0">
      <alignment vertical="center"/>
    </xf>
    <xf numFmtId="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68">
    <xf numFmtId="0" fontId="0" fillId="0" borderId="0" xfId="0"/>
    <xf numFmtId="0" fontId="27" fillId="0" borderId="0" xfId="0" applyFont="1"/>
    <xf numFmtId="0" fontId="30" fillId="0" borderId="0" xfId="46" applyFont="1">
      <alignment vertical="center"/>
    </xf>
    <xf numFmtId="0" fontId="30" fillId="0" borderId="0" xfId="46" applyFont="1" applyBorder="1" applyAlignment="1">
      <alignment vertical="center"/>
    </xf>
    <xf numFmtId="10" fontId="33" fillId="0" borderId="20" xfId="42" applyNumberFormat="1" applyFont="1" applyFill="1" applyBorder="1" applyAlignment="1">
      <alignment horizontal="right" vertical="center" wrapText="1"/>
    </xf>
    <xf numFmtId="10" fontId="33" fillId="0" borderId="15" xfId="42" applyNumberFormat="1" applyFont="1" applyFill="1" applyBorder="1" applyAlignment="1">
      <alignment horizontal="right" vertical="center" wrapText="1"/>
    </xf>
    <xf numFmtId="11" fontId="33" fillId="0" borderId="15" xfId="42" applyNumberFormat="1" applyFont="1" applyFill="1" applyBorder="1" applyAlignment="1">
      <alignment horizontal="right" vertical="center" wrapText="1"/>
    </xf>
    <xf numFmtId="10" fontId="33" fillId="0" borderId="15" xfId="46" applyNumberFormat="1" applyFont="1" applyFill="1" applyBorder="1" applyAlignment="1">
      <alignment horizontal="right" vertical="center" wrapText="1"/>
    </xf>
    <xf numFmtId="10" fontId="33" fillId="0" borderId="20" xfId="46" applyNumberFormat="1" applyFont="1" applyFill="1" applyBorder="1" applyAlignment="1">
      <alignment horizontal="right" vertical="center" wrapText="1"/>
    </xf>
    <xf numFmtId="10" fontId="33" fillId="0" borderId="16" xfId="46" applyNumberFormat="1" applyFont="1" applyFill="1" applyBorder="1" applyAlignment="1">
      <alignment horizontal="right" vertical="center" wrapText="1"/>
    </xf>
    <xf numFmtId="0" fontId="29" fillId="0" borderId="0" xfId="0" applyFont="1"/>
    <xf numFmtId="0" fontId="29" fillId="0" borderId="0" xfId="46" applyFont="1" applyAlignment="1">
      <alignment horizontal="left" vertical="center"/>
    </xf>
    <xf numFmtId="0" fontId="29" fillId="0" borderId="0" xfId="46" applyFont="1" applyBorder="1" applyAlignment="1">
      <alignment horizontal="left" vertical="center"/>
    </xf>
    <xf numFmtId="176" fontId="33" fillId="0" borderId="15" xfId="42" applyNumberFormat="1" applyFont="1" applyFill="1" applyBorder="1" applyAlignment="1">
      <alignment horizontal="right" vertical="center" wrapText="1"/>
    </xf>
    <xf numFmtId="10" fontId="33" fillId="0" borderId="14" xfId="46" applyNumberFormat="1" applyFont="1" applyFill="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0" fontId="30" fillId="0" borderId="0" xfId="1087" applyFont="1" applyBorder="1">
      <alignment vertical="center"/>
    </xf>
    <xf numFmtId="0" fontId="87" fillId="0" borderId="0" xfId="1087" applyFont="1" applyBorder="1">
      <alignment vertical="center"/>
    </xf>
    <xf numFmtId="180" fontId="30" fillId="0" borderId="0" xfId="46" applyNumberFormat="1" applyFont="1">
      <alignment vertical="center"/>
    </xf>
    <xf numFmtId="0" fontId="30" fillId="0" borderId="0" xfId="46" applyFont="1" applyFill="1">
      <alignment vertical="center"/>
    </xf>
    <xf numFmtId="11" fontId="30" fillId="0" borderId="43" xfId="0" applyNumberFormat="1" applyFont="1" applyBorder="1"/>
    <xf numFmtId="11" fontId="30" fillId="0" borderId="21" xfId="0" applyNumberFormat="1" applyFont="1" applyBorder="1"/>
    <xf numFmtId="0" fontId="32" fillId="0" borderId="121" xfId="1" applyFont="1" applyFill="1" applyBorder="1" applyAlignment="1">
      <alignment vertical="center" wrapText="1"/>
    </xf>
    <xf numFmtId="0" fontId="32" fillId="0" borderId="122" xfId="1" applyFont="1" applyFill="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6" fontId="33" fillId="0" borderId="16" xfId="42" applyNumberFormat="1" applyFont="1" applyFill="1" applyBorder="1" applyAlignment="1">
      <alignment horizontal="right" vertical="center" wrapText="1"/>
    </xf>
    <xf numFmtId="10" fontId="33" fillId="0" borderId="22" xfId="46" applyNumberFormat="1" applyFont="1" applyFill="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Fill="1" applyBorder="1" applyAlignment="1">
      <alignment horizontal="right" vertical="center" wrapText="1"/>
    </xf>
    <xf numFmtId="10" fontId="33" fillId="0" borderId="23" xfId="42" applyNumberFormat="1" applyFont="1" applyFill="1" applyBorder="1" applyAlignment="1">
      <alignment horizontal="right" vertical="center" wrapText="1"/>
    </xf>
    <xf numFmtId="10" fontId="33" fillId="0" borderId="14" xfId="42" applyNumberFormat="1" applyFont="1" applyFill="1" applyBorder="1" applyAlignment="1">
      <alignment horizontal="right" vertical="center" wrapText="1"/>
    </xf>
    <xf numFmtId="11" fontId="33" fillId="0" borderId="14" xfId="42" applyNumberFormat="1" applyFont="1" applyFill="1" applyBorder="1" applyAlignment="1">
      <alignment horizontal="right" vertical="center" wrapText="1"/>
    </xf>
    <xf numFmtId="176" fontId="33" fillId="0" borderId="22" xfId="42" applyNumberFormat="1" applyFont="1" applyFill="1" applyBorder="1" applyAlignment="1">
      <alignment horizontal="right" vertical="center" wrapText="1"/>
    </xf>
    <xf numFmtId="10" fontId="33" fillId="0" borderId="23" xfId="46" applyNumberFormat="1" applyFont="1" applyFill="1" applyBorder="1" applyAlignment="1">
      <alignment horizontal="right" vertical="center" wrapText="1"/>
    </xf>
    <xf numFmtId="11" fontId="33" fillId="0" borderId="133" xfId="46" applyNumberFormat="1" applyFont="1" applyFill="1" applyBorder="1" applyAlignment="1">
      <alignment horizontal="right" vertical="center" wrapText="1"/>
    </xf>
    <xf numFmtId="11" fontId="33" fillId="0" borderId="134" xfId="46" applyNumberFormat="1" applyFont="1" applyFill="1" applyBorder="1" applyAlignment="1">
      <alignment horizontal="right" vertical="center" wrapText="1"/>
    </xf>
    <xf numFmtId="10" fontId="33" fillId="0" borderId="127" xfId="46" applyNumberFormat="1" applyFont="1" applyFill="1" applyBorder="1" applyAlignment="1">
      <alignment horizontal="right" vertical="center" wrapText="1"/>
    </xf>
    <xf numFmtId="11" fontId="33" fillId="0" borderId="124" xfId="42" applyNumberFormat="1" applyFont="1" applyFill="1" applyBorder="1" applyAlignment="1">
      <alignment horizontal="right" vertical="center" wrapText="1"/>
    </xf>
    <xf numFmtId="10" fontId="33" fillId="0" borderId="125" xfId="42" applyNumberFormat="1" applyFont="1" applyFill="1" applyBorder="1" applyAlignment="1">
      <alignment horizontal="right" vertical="center" wrapText="1"/>
    </xf>
    <xf numFmtId="176" fontId="33" fillId="0" borderId="125" xfId="42" applyNumberFormat="1" applyFont="1" applyFill="1" applyBorder="1" applyAlignment="1">
      <alignment horizontal="right" vertical="center" wrapText="1"/>
    </xf>
    <xf numFmtId="11" fontId="33" fillId="0" borderId="135" xfId="42" applyNumberFormat="1" applyFont="1" applyFill="1" applyBorder="1" applyAlignment="1">
      <alignment horizontal="right" vertical="center" wrapText="1"/>
    </xf>
    <xf numFmtId="11" fontId="33" fillId="0" borderId="44" xfId="42" applyNumberFormat="1" applyFont="1" applyFill="1" applyBorder="1" applyAlignment="1">
      <alignment horizontal="right" vertical="center" wrapText="1"/>
    </xf>
    <xf numFmtId="10" fontId="33" fillId="0" borderId="35" xfId="42" applyNumberFormat="1" applyFont="1" applyFill="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Fill="1" applyBorder="1" applyAlignment="1">
      <alignment horizontal="right" vertical="center" wrapText="1"/>
    </xf>
    <xf numFmtId="10" fontId="33" fillId="0" borderId="147" xfId="46" applyNumberFormat="1" applyFont="1" applyFill="1" applyBorder="1" applyAlignment="1">
      <alignment horizontal="right" vertical="center" wrapText="1"/>
    </xf>
    <xf numFmtId="10" fontId="33" fillId="0" borderId="18" xfId="46" applyNumberFormat="1" applyFont="1" applyFill="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Fill="1" applyBorder="1" applyAlignment="1">
      <alignment horizontal="right" vertical="center" wrapText="1"/>
    </xf>
    <xf numFmtId="10" fontId="33" fillId="0" borderId="34" xfId="42" applyNumberFormat="1" applyFont="1" applyFill="1" applyBorder="1" applyAlignment="1">
      <alignment horizontal="right" vertical="center" wrapText="1"/>
    </xf>
    <xf numFmtId="176" fontId="33" fillId="0" borderId="165" xfId="42" applyNumberFormat="1" applyFont="1" applyFill="1" applyBorder="1" applyAlignment="1">
      <alignment horizontal="right" vertical="center" wrapText="1"/>
    </xf>
    <xf numFmtId="176" fontId="33" fillId="0" borderId="166" xfId="42" applyNumberFormat="1" applyFont="1" applyFill="1" applyBorder="1" applyAlignment="1">
      <alignment horizontal="right" vertical="center" wrapText="1"/>
    </xf>
    <xf numFmtId="176" fontId="33" fillId="0" borderId="167" xfId="42" applyNumberFormat="1" applyFont="1" applyFill="1" applyBorder="1" applyAlignment="1">
      <alignment horizontal="right" vertical="center" wrapText="1"/>
    </xf>
    <xf numFmtId="176" fontId="33" fillId="0" borderId="168" xfId="42" applyNumberFormat="1" applyFont="1" applyFill="1" applyBorder="1" applyAlignment="1">
      <alignment horizontal="right" vertical="center" wrapText="1"/>
    </xf>
    <xf numFmtId="0" fontId="32" fillId="0" borderId="169" xfId="46" applyFont="1" applyFill="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30" fillId="0" borderId="147" xfId="1087" applyFont="1" applyFill="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Fill="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Fill="1" applyBorder="1" applyAlignment="1">
      <alignment vertical="center" wrapText="1"/>
    </xf>
    <xf numFmtId="0" fontId="95" fillId="0" borderId="147" xfId="1087" applyFont="1" applyFill="1" applyBorder="1" applyAlignment="1">
      <alignment vertical="center" wrapText="1"/>
    </xf>
    <xf numFmtId="0" fontId="30" fillId="0" borderId="147" xfId="1087" applyFont="1" applyFill="1" applyBorder="1" applyAlignment="1">
      <alignment vertical="center" wrapText="1"/>
    </xf>
    <xf numFmtId="0" fontId="30" fillId="0" borderId="147" xfId="1090" applyFont="1" applyFill="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80" fillId="0" borderId="147" xfId="1087" applyFont="1" applyFill="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0" fontId="95" fillId="0" borderId="147" xfId="1087" applyFont="1" applyFill="1" applyBorder="1">
      <alignment vertical="center"/>
    </xf>
    <xf numFmtId="10" fontId="33" fillId="0" borderId="179" xfId="46" applyNumberFormat="1" applyFont="1" applyFill="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Fill="1" applyBorder="1" applyAlignment="1">
      <alignment horizontal="right" vertical="center" wrapText="1"/>
    </xf>
    <xf numFmtId="0" fontId="95" fillId="0" borderId="0" xfId="1087" applyFont="1" applyBorder="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0" fontId="30" fillId="0" borderId="0" xfId="46" applyFont="1" applyAlignment="1">
      <alignment vertical="center"/>
    </xf>
    <xf numFmtId="11" fontId="33" fillId="0" borderId="199" xfId="46" applyNumberFormat="1" applyFont="1" applyFill="1" applyBorder="1" applyAlignment="1">
      <alignment horizontal="right" vertical="center" wrapText="1"/>
    </xf>
    <xf numFmtId="11" fontId="33" fillId="0" borderId="200" xfId="46" applyNumberFormat="1" applyFont="1" applyFill="1" applyBorder="1" applyAlignment="1">
      <alignment horizontal="right" vertical="center" wrapText="1"/>
    </xf>
    <xf numFmtId="11" fontId="33" fillId="0" borderId="201" xfId="46" applyNumberFormat="1" applyFont="1" applyFill="1" applyBorder="1" applyAlignment="1">
      <alignment horizontal="right" vertical="center" wrapText="1"/>
    </xf>
    <xf numFmtId="11" fontId="33" fillId="0" borderId="202" xfId="46" applyNumberFormat="1" applyFont="1" applyFill="1" applyBorder="1" applyAlignment="1">
      <alignment horizontal="right" vertical="center" wrapText="1"/>
    </xf>
    <xf numFmtId="11" fontId="33" fillId="0" borderId="167" xfId="46" applyNumberFormat="1" applyFont="1" applyFill="1" applyBorder="1" applyAlignment="1">
      <alignment horizontal="right" vertical="center" wrapText="1"/>
    </xf>
    <xf numFmtId="11" fontId="33" fillId="0" borderId="168" xfId="46" applyNumberFormat="1" applyFont="1" applyFill="1" applyBorder="1" applyAlignment="1">
      <alignment horizontal="right" vertical="center" wrapText="1"/>
    </xf>
    <xf numFmtId="11" fontId="33" fillId="0" borderId="203" xfId="46" applyNumberFormat="1" applyFont="1" applyFill="1" applyBorder="1" applyAlignment="1">
      <alignment horizontal="right" vertical="center" wrapText="1"/>
    </xf>
    <xf numFmtId="11" fontId="33" fillId="0" borderId="163" xfId="46" applyNumberFormat="1" applyFont="1" applyFill="1" applyBorder="1" applyAlignment="1">
      <alignment horizontal="right" vertical="center" wrapText="1"/>
    </xf>
    <xf numFmtId="11" fontId="33" fillId="0" borderId="189" xfId="46" applyNumberFormat="1" applyFont="1" applyFill="1" applyBorder="1" applyAlignment="1">
      <alignment horizontal="right" vertical="center" wrapText="1"/>
    </xf>
    <xf numFmtId="0" fontId="75" fillId="0" borderId="0" xfId="0" applyFont="1" applyFill="1" applyBorder="1" applyAlignment="1">
      <alignment horizontal="center"/>
    </xf>
    <xf numFmtId="0" fontId="77" fillId="0" borderId="0" xfId="0" quotePrefix="1" applyFont="1" applyFill="1" applyBorder="1" applyAlignment="1">
      <alignment horizontal="center"/>
    </xf>
    <xf numFmtId="0" fontId="30" fillId="0" borderId="0" xfId="0" applyFont="1" applyFill="1" applyBorder="1" applyAlignment="1">
      <alignment horizontal="center"/>
    </xf>
    <xf numFmtId="0" fontId="33" fillId="0" borderId="60" xfId="42" applyFont="1" applyFill="1" applyBorder="1" applyAlignment="1">
      <alignment horizontal="right" vertical="center"/>
    </xf>
    <xf numFmtId="0" fontId="33" fillId="0" borderId="21" xfId="42" applyFont="1" applyFill="1" applyBorder="1" applyAlignment="1">
      <alignment horizontal="right" vertical="center"/>
    </xf>
    <xf numFmtId="0" fontId="33" fillId="0" borderId="158" xfId="42" applyFont="1" applyFill="1" applyBorder="1" applyAlignment="1">
      <alignment horizontal="right" vertical="center"/>
    </xf>
    <xf numFmtId="0" fontId="33" fillId="0" borderId="159" xfId="42" applyFont="1" applyFill="1" applyBorder="1" applyAlignment="1">
      <alignment horizontal="right" vertical="center"/>
    </xf>
    <xf numFmtId="0" fontId="33" fillId="0" borderId="106" xfId="42" applyFont="1" applyFill="1" applyBorder="1" applyAlignment="1">
      <alignment horizontal="right" vertical="center"/>
    </xf>
    <xf numFmtId="0" fontId="33" fillId="0" borderId="103" xfId="42" applyFont="1" applyFill="1" applyBorder="1" applyAlignment="1">
      <alignment horizontal="right" vertical="center"/>
    </xf>
    <xf numFmtId="0" fontId="33" fillId="0" borderId="61" xfId="42" applyFont="1" applyFill="1" applyBorder="1" applyAlignment="1">
      <alignment horizontal="right" vertical="center"/>
    </xf>
    <xf numFmtId="0" fontId="33" fillId="0" borderId="62" xfId="42" applyFont="1" applyFill="1" applyBorder="1" applyAlignment="1">
      <alignment horizontal="right" vertical="center"/>
    </xf>
    <xf numFmtId="10" fontId="33" fillId="0" borderId="149" xfId="42" applyNumberFormat="1" applyFont="1" applyFill="1" applyBorder="1" applyAlignment="1">
      <alignment horizontal="right" vertical="center" wrapText="1"/>
    </xf>
    <xf numFmtId="0" fontId="33" fillId="0" borderId="205" xfId="42" applyFont="1" applyFill="1" applyBorder="1" applyAlignment="1">
      <alignment horizontal="right" vertical="center"/>
    </xf>
    <xf numFmtId="11" fontId="33" fillId="0" borderId="178" xfId="42" applyNumberFormat="1" applyFont="1" applyFill="1" applyBorder="1" applyAlignment="1">
      <alignment horizontal="right" vertical="center" wrapText="1"/>
    </xf>
    <xf numFmtId="176" fontId="33" fillId="0" borderId="14" xfId="42" applyNumberFormat="1" applyFont="1" applyFill="1" applyBorder="1" applyAlignment="1">
      <alignment horizontal="right" vertical="center" wrapText="1"/>
    </xf>
    <xf numFmtId="10" fontId="33" fillId="0" borderId="105" xfId="42" applyNumberFormat="1" applyFont="1" applyFill="1" applyBorder="1" applyAlignment="1">
      <alignment horizontal="right" vertical="center" wrapText="1"/>
    </xf>
    <xf numFmtId="10" fontId="33" fillId="0" borderId="152" xfId="42" applyNumberFormat="1" applyFont="1" applyFill="1" applyBorder="1" applyAlignment="1">
      <alignment horizontal="right" vertical="center" wrapText="1"/>
    </xf>
    <xf numFmtId="176" fontId="33" fillId="0" borderId="163" xfId="42" applyNumberFormat="1" applyFont="1" applyFill="1" applyBorder="1" applyAlignment="1">
      <alignment horizontal="right" vertical="center" wrapText="1"/>
    </xf>
    <xf numFmtId="176" fontId="33" fillId="0" borderId="189" xfId="42" applyNumberFormat="1" applyFont="1" applyFill="1" applyBorder="1" applyAlignment="1">
      <alignment horizontal="right" vertical="center" wrapText="1"/>
    </xf>
    <xf numFmtId="0" fontId="32" fillId="0" borderId="169" xfId="1" applyFont="1" applyFill="1" applyBorder="1" applyAlignment="1">
      <alignment vertical="center" wrapText="1"/>
    </xf>
    <xf numFmtId="0" fontId="32" fillId="0" borderId="31" xfId="1" applyFont="1" applyFill="1" applyBorder="1" applyAlignment="1">
      <alignment horizontal="center" vertical="center" wrapText="1"/>
    </xf>
    <xf numFmtId="0" fontId="32" fillId="0" borderId="59" xfId="1" applyFont="1" applyFill="1" applyBorder="1" applyAlignment="1">
      <alignment horizontal="center" vertical="center" wrapText="1"/>
    </xf>
    <xf numFmtId="0" fontId="32" fillId="0" borderId="40" xfId="1" applyFont="1" applyFill="1" applyBorder="1" applyAlignment="1">
      <alignment horizontal="center" vertical="center" wrapText="1"/>
    </xf>
    <xf numFmtId="10" fontId="33" fillId="0" borderId="35" xfId="46" applyNumberFormat="1" applyFont="1" applyFill="1" applyBorder="1" applyAlignment="1">
      <alignment horizontal="right" vertical="center" wrapText="1"/>
    </xf>
    <xf numFmtId="10" fontId="33" fillId="0" borderId="33" xfId="46" applyNumberFormat="1" applyFont="1" applyFill="1" applyBorder="1" applyAlignment="1">
      <alignment horizontal="right" vertical="center" wrapText="1"/>
    </xf>
    <xf numFmtId="0" fontId="32" fillId="0" borderId="126" xfId="46" applyFont="1" applyFill="1" applyBorder="1" applyAlignment="1">
      <alignment horizontal="center" vertical="center" wrapText="1"/>
    </xf>
    <xf numFmtId="10" fontId="33" fillId="0" borderId="18" xfId="42" applyNumberFormat="1" applyFont="1" applyFill="1" applyBorder="1" applyAlignment="1">
      <alignment horizontal="right" vertical="center" wrapText="1"/>
    </xf>
    <xf numFmtId="176" fontId="33" fillId="0" borderId="33" xfId="42" applyNumberFormat="1" applyFont="1" applyFill="1" applyBorder="1" applyAlignment="1">
      <alignment horizontal="right" vertical="center" wrapText="1"/>
    </xf>
    <xf numFmtId="0" fontId="32" fillId="0" borderId="217" xfId="1" applyFont="1" applyFill="1" applyBorder="1" applyAlignment="1">
      <alignment vertical="center" wrapText="1"/>
    </xf>
    <xf numFmtId="0" fontId="75" fillId="0" borderId="160" xfId="0" applyFont="1" applyFill="1" applyBorder="1" applyAlignment="1">
      <alignment horizontal="center"/>
    </xf>
    <xf numFmtId="0" fontId="75" fillId="0" borderId="162" xfId="0" applyFont="1" applyFill="1" applyBorder="1" applyAlignment="1">
      <alignment horizontal="center"/>
    </xf>
    <xf numFmtId="0" fontId="75" fillId="0" borderId="161" xfId="0" applyFont="1" applyFill="1" applyBorder="1" applyAlignment="1">
      <alignment horizontal="center"/>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Fill="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Fill="1" applyBorder="1" applyAlignment="1" applyProtection="1">
      <alignment horizontal="center" vertical="center" wrapText="1"/>
      <protection hidden="1"/>
    </xf>
    <xf numFmtId="0" fontId="76" fillId="0" borderId="19" xfId="5890" quotePrefix="1" applyFont="1" applyFill="1" applyBorder="1" applyAlignment="1" applyProtection="1">
      <alignment horizontal="center" vertical="center"/>
      <protection hidden="1"/>
    </xf>
    <xf numFmtId="0" fontId="75" fillId="0" borderId="111" xfId="5891" applyFont="1" applyFill="1" applyBorder="1" applyAlignment="1" applyProtection="1">
      <alignment vertical="center" wrapText="1"/>
      <protection hidden="1"/>
    </xf>
    <xf numFmtId="0" fontId="75" fillId="0" borderId="14" xfId="5890" applyFont="1" applyFill="1" applyBorder="1" applyAlignment="1" applyProtection="1">
      <alignment horizontal="center" vertical="center" wrapText="1"/>
      <protection hidden="1"/>
    </xf>
    <xf numFmtId="0" fontId="75" fillId="0" borderId="94" xfId="5890" applyFont="1" applyFill="1" applyBorder="1" applyAlignment="1" applyProtection="1">
      <alignment vertical="center" wrapText="1"/>
      <protection hidden="1"/>
    </xf>
    <xf numFmtId="0" fontId="75" fillId="0" borderId="109" xfId="5890" applyFont="1" applyFill="1" applyBorder="1" applyAlignment="1" applyProtection="1">
      <alignment vertical="center"/>
      <protection hidden="1"/>
    </xf>
    <xf numFmtId="0" fontId="30" fillId="0" borderId="0" xfId="5890" applyFont="1" applyAlignment="1" applyProtection="1">
      <alignment vertical="center"/>
      <protection hidden="1"/>
    </xf>
    <xf numFmtId="0" fontId="75" fillId="0" borderId="109" xfId="5890" applyFont="1" applyFill="1" applyBorder="1" applyAlignment="1" applyProtection="1">
      <alignment vertical="center" wrapText="1"/>
      <protection hidden="1"/>
    </xf>
    <xf numFmtId="0" fontId="30" fillId="0" borderId="94" xfId="5890" applyFont="1" applyFill="1" applyBorder="1" applyAlignment="1" applyProtection="1">
      <alignment vertical="center"/>
      <protection hidden="1"/>
    </xf>
    <xf numFmtId="0" fontId="30" fillId="0" borderId="59" xfId="5890" applyFont="1" applyFill="1" applyBorder="1" applyAlignment="1" applyProtection="1">
      <alignment vertical="center"/>
      <protection hidden="1"/>
    </xf>
    <xf numFmtId="0" fontId="30" fillId="0" borderId="157" xfId="5890" applyFont="1" applyFill="1" applyBorder="1" applyAlignment="1" applyProtection="1">
      <alignment vertical="center"/>
      <protection hidden="1"/>
    </xf>
    <xf numFmtId="0" fontId="30" fillId="0" borderId="99" xfId="5890" applyFont="1" applyFill="1" applyBorder="1" applyAlignment="1" applyProtection="1">
      <alignment vertical="center"/>
      <protection hidden="1"/>
    </xf>
    <xf numFmtId="0" fontId="30" fillId="0" borderId="0" xfId="5890" applyFont="1" applyFill="1" applyBorder="1" applyAlignment="1" applyProtection="1">
      <alignment vertical="center"/>
      <protection hidden="1"/>
    </xf>
    <xf numFmtId="0" fontId="30" fillId="0" borderId="112" xfId="5890" applyFont="1" applyFill="1" applyBorder="1" applyAlignment="1" applyProtection="1">
      <alignment vertical="center"/>
      <protection hidden="1"/>
    </xf>
    <xf numFmtId="0" fontId="30" fillId="0" borderId="153" xfId="5890" applyFont="1" applyFill="1" applyBorder="1" applyAlignment="1" applyProtection="1">
      <alignment vertical="center"/>
      <protection hidden="1"/>
    </xf>
    <xf numFmtId="0" fontId="30" fillId="0" borderId="152" xfId="5890" applyFont="1" applyFill="1" applyBorder="1" applyAlignment="1" applyProtection="1">
      <alignment vertical="center"/>
      <protection hidden="1"/>
    </xf>
    <xf numFmtId="0" fontId="30" fillId="0" borderId="163" xfId="5890" applyFont="1" applyFill="1" applyBorder="1" applyAlignment="1" applyProtection="1">
      <alignment vertical="center" wrapText="1"/>
      <protection hidden="1"/>
    </xf>
    <xf numFmtId="0" fontId="30" fillId="0" borderId="152" xfId="5891" applyFont="1" applyFill="1" applyBorder="1" applyAlignment="1" applyProtection="1">
      <alignment vertical="center"/>
      <protection hidden="1"/>
    </xf>
    <xf numFmtId="0" fontId="30" fillId="0" borderId="193" xfId="5891" applyFont="1" applyFill="1" applyBorder="1" applyAlignment="1" applyProtection="1">
      <alignment horizontal="center" vertical="center" wrapText="1"/>
      <protection hidden="1"/>
    </xf>
    <xf numFmtId="0" fontId="30" fillId="0" borderId="153" xfId="5891" applyFont="1" applyFill="1" applyBorder="1" applyAlignment="1" applyProtection="1">
      <alignment horizontal="center" vertical="center" wrapText="1"/>
      <protection hidden="1"/>
    </xf>
    <xf numFmtId="0" fontId="30" fillId="0" borderId="154" xfId="5891" applyFont="1" applyFill="1" applyBorder="1" applyAlignment="1" applyProtection="1">
      <alignment horizontal="center" vertical="center" wrapText="1"/>
      <protection hidden="1"/>
    </xf>
    <xf numFmtId="0" fontId="30" fillId="0" borderId="195" xfId="5891" applyFont="1" applyFill="1" applyBorder="1" applyAlignment="1" applyProtection="1">
      <alignment vertical="center"/>
      <protection hidden="1"/>
    </xf>
    <xf numFmtId="0" fontId="30" fillId="0" borderId="112" xfId="5891" applyFont="1" applyFill="1" applyBorder="1" applyAlignment="1" applyProtection="1">
      <alignment horizontal="center" vertical="center" wrapText="1"/>
      <protection hidden="1"/>
    </xf>
    <xf numFmtId="0" fontId="30" fillId="0" borderId="112" xfId="5891" applyFont="1" applyFill="1" applyBorder="1" applyAlignment="1" applyProtection="1">
      <alignment vertical="center"/>
      <protection hidden="1"/>
    </xf>
    <xf numFmtId="0" fontId="80" fillId="0" borderId="154" xfId="5891" applyFont="1" applyFill="1" applyBorder="1" applyAlignment="1" applyProtection="1">
      <alignment horizontal="center" vertical="center" wrapText="1"/>
      <protection hidden="1"/>
    </xf>
    <xf numFmtId="0" fontId="30" fillId="0" borderId="155" xfId="5891" applyFont="1" applyFill="1" applyBorder="1" applyAlignment="1" applyProtection="1">
      <alignment horizontal="center" vertical="center" wrapText="1"/>
      <protection hidden="1"/>
    </xf>
    <xf numFmtId="0" fontId="30" fillId="0" borderId="89" xfId="5890" applyFont="1" applyFill="1" applyBorder="1" applyAlignment="1" applyProtection="1">
      <alignment vertical="center"/>
      <protection hidden="1"/>
    </xf>
    <xf numFmtId="0" fontId="30" fillId="0" borderId="152" xfId="5890" applyFont="1" applyBorder="1" applyProtection="1">
      <alignment vertical="center"/>
      <protection hidden="1"/>
    </xf>
    <xf numFmtId="0" fontId="30" fillId="0" borderId="193" xfId="5890" applyFont="1" applyBorder="1" applyProtection="1">
      <alignment vertical="center"/>
      <protection hidden="1"/>
    </xf>
    <xf numFmtId="0" fontId="30" fillId="0" borderId="153" xfId="5890" applyFont="1" applyBorder="1" applyProtection="1">
      <alignment vertical="center"/>
      <protection hidden="1"/>
    </xf>
    <xf numFmtId="0" fontId="30" fillId="0" borderId="157" xfId="5890" applyFont="1" applyBorder="1" applyProtection="1">
      <alignment vertical="center"/>
      <protection hidden="1"/>
    </xf>
    <xf numFmtId="0" fontId="30" fillId="0" borderId="95" xfId="5892" applyFont="1" applyFill="1" applyBorder="1" applyAlignment="1" applyProtection="1">
      <alignment vertical="center"/>
      <protection hidden="1"/>
    </xf>
    <xf numFmtId="0" fontId="30" fillId="0" borderId="19" xfId="5890" applyFont="1" applyFill="1" applyBorder="1" applyAlignment="1" applyProtection="1">
      <alignment vertical="center"/>
      <protection hidden="1"/>
    </xf>
    <xf numFmtId="0" fontId="30" fillId="0" borderId="19" xfId="5892" applyFont="1" applyFill="1" applyBorder="1" applyAlignment="1" applyProtection="1">
      <alignment horizontal="center" vertical="center" wrapText="1"/>
      <protection hidden="1"/>
    </xf>
    <xf numFmtId="0" fontId="30" fillId="0" borderId="93" xfId="5890" applyFont="1" applyFill="1" applyBorder="1" applyAlignment="1" applyProtection="1">
      <alignment vertical="center"/>
      <protection hidden="1"/>
    </xf>
    <xf numFmtId="0" fontId="30" fillId="0" borderId="95" xfId="5890" applyFont="1" applyFill="1" applyBorder="1" applyAlignment="1" applyProtection="1">
      <alignment vertical="center"/>
      <protection hidden="1"/>
    </xf>
    <xf numFmtId="0" fontId="30" fillId="0" borderId="76" xfId="5891" applyFont="1" applyFill="1" applyBorder="1" applyAlignment="1" applyProtection="1">
      <alignment horizontal="center" vertical="center" wrapText="1"/>
      <protection hidden="1"/>
    </xf>
    <xf numFmtId="0" fontId="30" fillId="0" borderId="59" xfId="5892" applyFont="1" applyFill="1" applyBorder="1" applyAlignment="1" applyProtection="1">
      <alignment horizontal="center" vertical="center" wrapText="1"/>
      <protection hidden="1"/>
    </xf>
    <xf numFmtId="0" fontId="30" fillId="0" borderId="31" xfId="5890" applyFont="1" applyFill="1" applyBorder="1" applyAlignment="1" applyProtection="1">
      <alignment horizontal="center" vertical="center" wrapText="1"/>
      <protection hidden="1"/>
    </xf>
    <xf numFmtId="0" fontId="30" fillId="0" borderId="157" xfId="5891" applyFont="1" applyFill="1" applyBorder="1" applyAlignment="1" applyProtection="1">
      <alignment vertical="center" wrapText="1"/>
      <protection hidden="1"/>
    </xf>
    <xf numFmtId="0" fontId="30" fillId="0" borderId="196" xfId="5891" applyFont="1" applyFill="1" applyBorder="1" applyAlignment="1" applyProtection="1">
      <alignment vertical="center" wrapText="1"/>
      <protection hidden="1"/>
    </xf>
    <xf numFmtId="0" fontId="30" fillId="0" borderId="197" xfId="5891" applyFont="1" applyFill="1" applyBorder="1" applyAlignment="1" applyProtection="1">
      <alignment vertical="center" wrapText="1"/>
      <protection hidden="1"/>
    </xf>
    <xf numFmtId="0" fontId="30" fillId="0" borderId="198" xfId="5891" applyFont="1" applyFill="1" applyBorder="1" applyAlignment="1" applyProtection="1">
      <alignment vertical="center" wrapText="1"/>
      <protection hidden="1"/>
    </xf>
    <xf numFmtId="0" fontId="30" fillId="0" borderId="120" xfId="5891" applyFont="1" applyFill="1" applyBorder="1" applyAlignment="1" applyProtection="1">
      <alignment vertical="center"/>
      <protection hidden="1"/>
    </xf>
    <xf numFmtId="0" fontId="30" fillId="0" borderId="188" xfId="5891" applyFont="1" applyFill="1" applyBorder="1" applyAlignment="1" applyProtection="1">
      <alignment vertical="center"/>
      <protection hidden="1"/>
    </xf>
    <xf numFmtId="0" fontId="30" fillId="0" borderId="59" xfId="5891" applyFont="1" applyFill="1" applyBorder="1" applyAlignment="1" applyProtection="1">
      <alignment horizontal="center" vertical="center" wrapText="1"/>
      <protection hidden="1"/>
    </xf>
    <xf numFmtId="0" fontId="30" fillId="0" borderId="118" xfId="5890" applyFont="1" applyFill="1" applyBorder="1" applyAlignment="1" applyProtection="1">
      <alignment vertical="center" wrapText="1"/>
      <protection hidden="1"/>
    </xf>
    <xf numFmtId="0" fontId="30" fillId="0" borderId="119" xfId="5890" applyFont="1" applyFill="1" applyBorder="1" applyAlignment="1" applyProtection="1">
      <alignment vertical="center" wrapText="1"/>
      <protection hidden="1"/>
    </xf>
    <xf numFmtId="0" fontId="30" fillId="0" borderId="94" xfId="5890" applyFont="1" applyFill="1" applyBorder="1" applyAlignment="1" applyProtection="1">
      <alignment horizontal="center" vertical="center" wrapText="1"/>
      <protection hidden="1"/>
    </xf>
    <xf numFmtId="0" fontId="30" fillId="0" borderId="105" xfId="5890" applyFont="1" applyFill="1" applyBorder="1" applyAlignment="1" applyProtection="1">
      <alignment vertical="center" wrapText="1"/>
      <protection hidden="1"/>
    </xf>
    <xf numFmtId="0" fontId="30" fillId="0" borderId="14" xfId="5890" applyFont="1" applyFill="1" applyBorder="1" applyAlignment="1" applyProtection="1">
      <alignment horizontal="center" vertical="center" wrapText="1"/>
      <protection hidden="1"/>
    </xf>
    <xf numFmtId="0" fontId="30" fillId="0" borderId="76" xfId="5890" applyFont="1" applyFill="1" applyBorder="1" applyAlignment="1" applyProtection="1">
      <alignment horizontal="center" vertical="center" wrapText="1"/>
      <protection hidden="1"/>
    </xf>
    <xf numFmtId="0" fontId="30" fillId="0" borderId="58" xfId="5890" applyFont="1" applyFill="1" applyBorder="1" applyAlignment="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Fill="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Fill="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Fill="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Fill="1" applyBorder="1" applyAlignment="1" applyProtection="1">
      <alignment vertical="center"/>
      <protection hidden="1"/>
    </xf>
    <xf numFmtId="0" fontId="80" fillId="0" borderId="76" xfId="5890" applyFont="1" applyFill="1" applyBorder="1" applyAlignment="1" applyProtection="1">
      <alignment vertical="center"/>
      <protection hidden="1"/>
    </xf>
    <xf numFmtId="0" fontId="30" fillId="0" borderId="147" xfId="5890" applyFont="1" applyBorder="1" applyProtection="1">
      <alignment vertical="center"/>
      <protection hidden="1"/>
    </xf>
    <xf numFmtId="0" fontId="30" fillId="0" borderId="156" xfId="5891" applyFont="1" applyFill="1" applyBorder="1" applyAlignment="1" applyProtection="1">
      <alignment vertical="center" wrapText="1"/>
      <protection hidden="1"/>
    </xf>
    <xf numFmtId="0" fontId="30" fillId="0" borderId="76" xfId="5890" applyFont="1" applyFill="1" applyBorder="1" applyAlignment="1" applyProtection="1">
      <alignment vertical="center" wrapText="1"/>
      <protection hidden="1"/>
    </xf>
    <xf numFmtId="0" fontId="29" fillId="0" borderId="109" xfId="5891" applyFont="1" applyFill="1" applyBorder="1" applyAlignment="1" applyProtection="1">
      <alignment horizontal="center" vertical="center" wrapText="1"/>
      <protection hidden="1"/>
    </xf>
    <xf numFmtId="0" fontId="29" fillId="0" borderId="109" xfId="5890" applyFont="1" applyFill="1" applyBorder="1" applyAlignment="1" applyProtection="1">
      <alignment horizontal="center" vertical="center" wrapText="1"/>
      <protection hidden="1"/>
    </xf>
    <xf numFmtId="0" fontId="29" fillId="0" borderId="108" xfId="5891" applyFont="1" applyFill="1" applyBorder="1" applyAlignment="1" applyProtection="1">
      <alignment horizontal="center" vertical="center" wrapText="1"/>
      <protection hidden="1"/>
    </xf>
    <xf numFmtId="0" fontId="29" fillId="0" borderId="94" xfId="5891" applyFont="1" applyFill="1" applyBorder="1" applyAlignment="1" applyProtection="1">
      <alignment horizontal="center" vertical="center" wrapText="1"/>
      <protection hidden="1"/>
    </xf>
    <xf numFmtId="0" fontId="29" fillId="0" borderId="59" xfId="5891" applyFont="1" applyFill="1" applyBorder="1" applyAlignment="1" applyProtection="1">
      <alignment horizontal="center" vertical="center" wrapText="1"/>
      <protection hidden="1"/>
    </xf>
    <xf numFmtId="0" fontId="29" fillId="0" borderId="98" xfId="5890" applyFont="1" applyFill="1" applyBorder="1" applyAlignment="1" applyProtection="1">
      <alignment horizontal="center" vertical="center" wrapText="1"/>
      <protection hidden="1"/>
    </xf>
    <xf numFmtId="0" fontId="29" fillId="0" borderId="108" xfId="5890" applyFont="1" applyFill="1" applyBorder="1" applyAlignment="1" applyProtection="1">
      <alignment horizontal="center" vertical="center" wrapText="1"/>
      <protection hidden="1"/>
    </xf>
    <xf numFmtId="0" fontId="29" fillId="0" borderId="110" xfId="5890" applyFont="1" applyFill="1" applyBorder="1" applyAlignment="1" applyProtection="1">
      <alignment horizontal="center" vertical="center" wrapText="1"/>
      <protection hidden="1"/>
    </xf>
    <xf numFmtId="0" fontId="29" fillId="0" borderId="90" xfId="5890" applyFont="1" applyFill="1" applyBorder="1" applyAlignment="1" applyProtection="1">
      <alignment horizontal="center" vertical="center" wrapText="1"/>
      <protection hidden="1"/>
    </xf>
    <xf numFmtId="0" fontId="29" fillId="0" borderId="92" xfId="5890" applyFont="1" applyFill="1" applyBorder="1" applyAlignment="1" applyProtection="1">
      <alignment horizontal="center" vertical="center" wrapText="1"/>
      <protection hidden="1"/>
    </xf>
    <xf numFmtId="0" fontId="30" fillId="0" borderId="93" xfId="5890" applyFont="1" applyFill="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79"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0" fontId="30" fillId="0" borderId="76"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Fill="1" applyBorder="1" applyAlignment="1" applyProtection="1">
      <protection hidden="1"/>
    </xf>
    <xf numFmtId="10" fontId="30" fillId="0" borderId="109" xfId="5890" applyNumberFormat="1" applyFont="1" applyFill="1" applyBorder="1" applyAlignment="1" applyProtection="1">
      <protection hidden="1"/>
    </xf>
    <xf numFmtId="10" fontId="30" fillId="0" borderId="76" xfId="5890" applyNumberFormat="1" applyFont="1" applyFill="1" applyBorder="1" applyAlignment="1" applyProtection="1">
      <protection hidden="1"/>
    </xf>
    <xf numFmtId="10" fontId="30" fillId="0" borderId="93" xfId="5890" applyNumberFormat="1" applyFont="1" applyBorder="1" applyAlignment="1" applyProtection="1">
      <protection hidden="1"/>
    </xf>
    <xf numFmtId="181"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10" fontId="30" fillId="0" borderId="109" xfId="5890" applyNumberFormat="1" applyFont="1" applyBorder="1" applyAlignment="1" applyProtection="1">
      <protection hidden="1"/>
    </xf>
    <xf numFmtId="0" fontId="30" fillId="0" borderId="109" xfId="5890" applyNumberFormat="1" applyFont="1" applyBorder="1" applyAlignment="1" applyProtection="1">
      <protection hidden="1"/>
    </xf>
    <xf numFmtId="0" fontId="75" fillId="0" borderId="109" xfId="5890" applyFont="1" applyFill="1" applyBorder="1" applyAlignment="1" applyProtection="1">
      <protection hidden="1"/>
    </xf>
    <xf numFmtId="0" fontId="30" fillId="63" borderId="109" xfId="5890" applyFont="1" applyFill="1" applyBorder="1" applyAlignment="1" applyProtection="1">
      <protection hidden="1"/>
    </xf>
    <xf numFmtId="0" fontId="30" fillId="0"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NumberFormat="1" applyFont="1" applyFill="1" applyBorder="1" applyAlignment="1" applyProtection="1">
      <alignment horizontal="right" vertical="center" wrapText="1"/>
      <protection hidden="1"/>
    </xf>
    <xf numFmtId="10" fontId="30" fillId="0" borderId="91" xfId="5895" applyNumberFormat="1" applyFont="1" applyFill="1" applyBorder="1" applyAlignment="1" applyProtection="1">
      <alignment horizontal="right" vertical="center" wrapText="1"/>
      <protection hidden="1"/>
    </xf>
    <xf numFmtId="10" fontId="30" fillId="0" borderId="110" xfId="5895" applyNumberFormat="1" applyFont="1" applyFill="1" applyBorder="1" applyAlignment="1" applyProtection="1">
      <alignment horizontal="right" vertical="center" wrapText="1"/>
      <protection hidden="1"/>
    </xf>
    <xf numFmtId="10" fontId="30" fillId="0" borderId="149" xfId="5895" applyNumberFormat="1" applyFont="1" applyFill="1" applyBorder="1" applyAlignment="1" applyProtection="1">
      <alignment horizontal="right" vertical="center" wrapText="1"/>
      <protection hidden="1"/>
    </xf>
    <xf numFmtId="10" fontId="30" fillId="0" borderId="92" xfId="5895" applyNumberFormat="1" applyFont="1" applyFill="1" applyBorder="1" applyAlignment="1" applyProtection="1">
      <alignment horizontal="right" vertical="center" wrapText="1"/>
      <protection hidden="1"/>
    </xf>
    <xf numFmtId="181" fontId="30" fillId="0" borderId="91" xfId="5895" applyNumberFormat="1" applyFont="1" applyFill="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Fill="1" applyAlignment="1" applyProtection="1">
      <protection hidden="1"/>
    </xf>
    <xf numFmtId="10" fontId="30" fillId="0" borderId="193" xfId="5895" applyNumberFormat="1" applyFont="1" applyFill="1" applyBorder="1" applyAlignment="1" applyProtection="1">
      <alignment horizontal="right" vertical="center" wrapText="1"/>
      <protection hidden="1"/>
    </xf>
    <xf numFmtId="0" fontId="90" fillId="0" borderId="0" xfId="5890" applyFont="1" applyAlignment="1" applyProtection="1">
      <protection hidden="1"/>
    </xf>
    <xf numFmtId="0" fontId="30" fillId="0" borderId="76" xfId="5890" applyFont="1" applyFill="1" applyBorder="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Fill="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Fill="1" applyBorder="1" applyAlignment="1" applyProtection="1">
      <protection locked="0"/>
    </xf>
    <xf numFmtId="0" fontId="30" fillId="0" borderId="76" xfId="5890" applyFont="1" applyFill="1" applyBorder="1" applyAlignment="1" applyProtection="1">
      <protection locked="0"/>
    </xf>
    <xf numFmtId="0" fontId="30" fillId="0" borderId="109" xfId="5890" applyFont="1" applyBorder="1" applyAlignment="1" applyProtection="1">
      <protection locked="0"/>
    </xf>
    <xf numFmtId="0" fontId="30" fillId="0" borderId="94" xfId="5890" applyFont="1" applyFill="1" applyBorder="1" applyAlignment="1" applyProtection="1">
      <protection locked="0"/>
    </xf>
    <xf numFmtId="0" fontId="30" fillId="0" borderId="59" xfId="5890" applyFont="1" applyFill="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Fill="1" applyBorder="1" applyAlignment="1" applyProtection="1">
      <alignment horizontal="center" vertical="center" wrapText="1"/>
      <protection hidden="1"/>
    </xf>
    <xf numFmtId="0" fontId="30" fillId="0" borderId="58" xfId="5891" applyFont="1" applyFill="1" applyBorder="1" applyAlignment="1" applyProtection="1">
      <alignment horizontal="center" vertical="center" wrapText="1"/>
      <protection hidden="1"/>
    </xf>
    <xf numFmtId="0" fontId="89" fillId="0" borderId="0" xfId="5890" quotePrefix="1" applyFont="1" applyBorder="1" applyAlignment="1" applyProtection="1">
      <alignment horizontal="left" vertical="center"/>
      <protection locked="0"/>
    </xf>
    <xf numFmtId="0" fontId="30" fillId="0" borderId="0" xfId="5890" applyFont="1" applyProtection="1">
      <alignment vertical="center"/>
      <protection locked="0"/>
    </xf>
    <xf numFmtId="0" fontId="30" fillId="0" borderId="0" xfId="5890" applyFont="1" applyBorder="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Fill="1" applyBorder="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Fill="1" applyBorder="1" applyProtection="1">
      <alignment vertical="center"/>
      <protection locked="0"/>
    </xf>
    <xf numFmtId="0" fontId="30" fillId="0" borderId="0" xfId="5890" applyFont="1" applyFill="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Fill="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Fill="1" applyBorder="1" applyAlignment="1" applyProtection="1">
      <protection locked="0"/>
    </xf>
    <xf numFmtId="0" fontId="30" fillId="0" borderId="0" xfId="5890" applyFont="1" applyFill="1" applyBorder="1" applyAlignment="1" applyProtection="1">
      <alignment horizontal="right"/>
      <protection locked="0"/>
    </xf>
    <xf numFmtId="0" fontId="29" fillId="0" borderId="110" xfId="5890" applyFont="1" applyFill="1" applyBorder="1" applyAlignment="1" applyProtection="1">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Fill="1" applyBorder="1" applyAlignment="1" applyProtection="1">
      <protection locked="0"/>
    </xf>
    <xf numFmtId="0" fontId="29" fillId="0" borderId="147" xfId="5890" applyFont="1" applyFill="1" applyBorder="1" applyProtection="1">
      <alignment vertical="center"/>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Fill="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Fill="1" applyBorder="1" applyProtection="1">
      <alignment vertical="center"/>
      <protection locked="0"/>
    </xf>
    <xf numFmtId="0" fontId="29" fillId="0" borderId="109" xfId="5890" applyFont="1" applyBorder="1" applyProtection="1">
      <alignment vertical="center"/>
      <protection locked="0"/>
    </xf>
    <xf numFmtId="0" fontId="30" fillId="0" borderId="109" xfId="5890" applyFont="1" applyBorder="1" applyProtection="1">
      <alignment vertical="center"/>
      <protection locked="0"/>
    </xf>
    <xf numFmtId="0" fontId="30" fillId="0" borderId="0" xfId="5890" applyFont="1" applyAlignment="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0" borderId="147" xfId="5890" applyFont="1" applyBorder="1" applyProtection="1">
      <alignment vertical="center"/>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Border="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0" fontId="30" fillId="0" borderId="147" xfId="5890" applyFont="1" applyBorder="1" applyAlignment="1" applyProtection="1">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Border="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Fill="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Fill="1" applyBorder="1" applyAlignment="1" applyProtection="1">
      <alignment horizontal="center"/>
      <protection locked="0"/>
    </xf>
    <xf numFmtId="0" fontId="30" fillId="0" borderId="109" xfId="5890" applyFont="1" applyFill="1" applyBorder="1" applyAlignment="1" applyProtection="1">
      <alignment horizontal="center"/>
      <protection locked="0"/>
    </xf>
    <xf numFmtId="0" fontId="80" fillId="0" borderId="109" xfId="5890" applyFont="1" applyFill="1" applyBorder="1" applyAlignment="1" applyProtection="1">
      <protection locked="0"/>
    </xf>
    <xf numFmtId="0" fontId="30" fillId="0" borderId="77" xfId="5890" applyFont="1" applyBorder="1" applyAlignment="1" applyProtection="1">
      <protection locked="0"/>
    </xf>
    <xf numFmtId="0" fontId="30" fillId="0" borderId="77" xfId="5892" applyFont="1" applyFill="1" applyBorder="1" applyAlignment="1" applyProtection="1">
      <alignment vertical="center" wrapText="1"/>
      <protection locked="0"/>
    </xf>
    <xf numFmtId="0" fontId="30" fillId="0" borderId="109" xfId="5892" applyFont="1" applyFill="1" applyBorder="1" applyAlignment="1" applyProtection="1">
      <alignment vertical="center" wrapText="1"/>
      <protection locked="0"/>
    </xf>
    <xf numFmtId="0" fontId="88" fillId="0" borderId="77" xfId="5894" applyFont="1" applyFill="1" applyBorder="1" applyAlignment="1" applyProtection="1">
      <alignment vertical="center" wrapText="1"/>
      <protection locked="0"/>
    </xf>
    <xf numFmtId="0" fontId="30" fillId="0" borderId="147" xfId="5894" applyFont="1" applyFill="1" applyBorder="1" applyAlignment="1" applyProtection="1">
      <alignment vertical="center" wrapText="1"/>
      <protection locked="0"/>
    </xf>
    <xf numFmtId="0" fontId="32" fillId="0" borderId="0" xfId="5894" applyFont="1" applyFill="1" applyBorder="1" applyAlignment="1" applyProtection="1">
      <alignment vertical="center" wrapText="1"/>
      <protection locked="0"/>
    </xf>
    <xf numFmtId="0" fontId="30" fillId="0" borderId="109" xfId="1116" applyFont="1" applyBorder="1" applyAlignment="1" applyProtection="1">
      <alignment horizontal="center"/>
      <protection locked="0"/>
    </xf>
    <xf numFmtId="0" fontId="30" fillId="0" borderId="109" xfId="1116" applyFont="1" applyFill="1" applyBorder="1" applyAlignment="1" applyProtection="1">
      <alignment horizontal="center"/>
      <protection locked="0"/>
    </xf>
    <xf numFmtId="0" fontId="80" fillId="0" borderId="109" xfId="1116" applyFont="1" applyFill="1" applyBorder="1" applyAlignment="1" applyProtection="1">
      <alignment horizontal="center"/>
      <protection locked="0"/>
    </xf>
    <xf numFmtId="0" fontId="30" fillId="0" borderId="99" xfId="5895" applyFont="1" applyFill="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Fill="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Fill="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Fill="1" applyBorder="1" applyAlignment="1" applyProtection="1">
      <alignment vertical="center" wrapText="1"/>
      <protection locked="0"/>
    </xf>
    <xf numFmtId="0" fontId="73" fillId="0" borderId="0" xfId="5892" applyFont="1" applyFill="1" applyBorder="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Fill="1" applyBorder="1" applyAlignment="1" applyProtection="1">
      <alignment horizontal="center" vertical="center"/>
      <protection locked="0"/>
    </xf>
    <xf numFmtId="0" fontId="29" fillId="0" borderId="0" xfId="5890" applyFont="1" applyFill="1" applyBorder="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Fill="1" applyBorder="1" applyAlignment="1" applyProtection="1">
      <alignment horizontal="center" vertical="center" wrapText="1"/>
      <protection locked="0"/>
    </xf>
    <xf numFmtId="0" fontId="30" fillId="0" borderId="76" xfId="5890" applyFont="1" applyBorder="1" applyAlignment="1" applyProtection="1">
      <protection locked="0"/>
    </xf>
    <xf numFmtId="10" fontId="29" fillId="0" borderId="109" xfId="5890" applyNumberFormat="1" applyFont="1" applyBorder="1" applyAlignment="1" applyProtection="1">
      <protection locked="0"/>
    </xf>
    <xf numFmtId="0" fontId="30" fillId="0" borderId="59" xfId="5890" applyFont="1" applyBorder="1" applyProtection="1">
      <alignment vertical="center"/>
      <protection locked="0"/>
    </xf>
    <xf numFmtId="0" fontId="53" fillId="0" borderId="76" xfId="5894" applyFont="1" applyFill="1" applyBorder="1" applyAlignment="1" applyProtection="1">
      <alignment vertical="center" wrapText="1"/>
      <protection locked="0"/>
    </xf>
    <xf numFmtId="0" fontId="29" fillId="0" borderId="147" xfId="5894" applyFont="1" applyFill="1" applyBorder="1" applyAlignment="1" applyProtection="1">
      <alignment horizontal="center" vertical="center" wrapText="1"/>
      <protection locked="0"/>
    </xf>
    <xf numFmtId="0" fontId="31" fillId="0" borderId="76" xfId="5894" applyFont="1" applyFill="1" applyBorder="1" applyAlignment="1" applyProtection="1">
      <alignment vertical="center" wrapText="1"/>
      <protection locked="0"/>
    </xf>
    <xf numFmtId="0" fontId="32" fillId="0" borderId="0" xfId="5894" applyFont="1" applyFill="1" applyBorder="1" applyAlignment="1" applyProtection="1">
      <alignment horizontal="center" vertical="center" wrapText="1"/>
      <protection locked="0"/>
    </xf>
    <xf numFmtId="0" fontId="29" fillId="0" borderId="76" xfId="5890" applyFont="1" applyFill="1" applyBorder="1" applyAlignment="1" applyProtection="1">
      <alignment vertical="center" wrapText="1"/>
      <protection locked="0"/>
    </xf>
    <xf numFmtId="0" fontId="29" fillId="0" borderId="148" xfId="5890" applyFont="1" applyFill="1" applyBorder="1" applyAlignment="1" applyProtection="1">
      <alignment horizontal="center" vertical="center" wrapText="1"/>
      <protection locked="0"/>
    </xf>
    <xf numFmtId="0" fontId="29" fillId="0" borderId="149" xfId="5890" applyFont="1" applyFill="1" applyBorder="1" applyAlignment="1" applyProtection="1">
      <alignment horizontal="center" vertical="center" wrapText="1"/>
      <protection locked="0"/>
    </xf>
    <xf numFmtId="0" fontId="29" fillId="0" borderId="147" xfId="5890" applyFont="1" applyFill="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Fill="1" applyBorder="1" applyAlignment="1" applyProtection="1">
      <alignment horizontal="right" vertical="center" wrapText="1"/>
      <protection locked="0"/>
    </xf>
    <xf numFmtId="11" fontId="30" fillId="0" borderId="109" xfId="5892" applyNumberFormat="1" applyFont="1" applyFill="1" applyBorder="1" applyProtection="1">
      <alignment vertical="center"/>
      <protection locked="0"/>
    </xf>
    <xf numFmtId="11" fontId="30" fillId="0" borderId="109" xfId="5890" applyNumberFormat="1" applyFont="1" applyFill="1" applyBorder="1" applyProtection="1">
      <alignment vertical="center"/>
      <protection locked="0"/>
    </xf>
    <xf numFmtId="0" fontId="30" fillId="0" borderId="76" xfId="5895" applyFont="1" applyFill="1" applyBorder="1" applyAlignment="1" applyProtection="1">
      <alignment horizontal="right" vertical="center" wrapText="1"/>
      <protection locked="0"/>
    </xf>
    <xf numFmtId="178" fontId="30" fillId="0" borderId="147" xfId="5895" applyNumberFormat="1" applyFont="1" applyFill="1" applyBorder="1" applyAlignment="1" applyProtection="1">
      <alignment horizontal="right" vertical="center" wrapText="1"/>
      <protection locked="0"/>
    </xf>
    <xf numFmtId="0" fontId="30" fillId="0" borderId="76" xfId="5895" applyFont="1" applyFill="1" applyBorder="1" applyAlignment="1" applyProtection="1">
      <alignment vertical="center" wrapText="1"/>
      <protection locked="0"/>
    </xf>
    <xf numFmtId="10" fontId="30" fillId="0" borderId="147" xfId="5895" applyNumberFormat="1" applyFont="1" applyFill="1" applyBorder="1" applyAlignment="1" applyProtection="1">
      <alignment horizontal="right" vertical="center" wrapText="1"/>
      <protection locked="0"/>
    </xf>
    <xf numFmtId="10" fontId="33" fillId="0" borderId="0" xfId="5895" applyNumberFormat="1" applyFont="1" applyFill="1" applyBorder="1" applyAlignment="1" applyProtection="1">
      <alignment horizontal="right" vertical="center" wrapText="1"/>
      <protection locked="0"/>
    </xf>
    <xf numFmtId="0" fontId="30" fillId="0" borderId="109" xfId="5890" applyFont="1" applyFill="1" applyBorder="1" applyAlignment="1" applyProtection="1">
      <alignment horizontal="right" vertical="center" wrapText="1"/>
      <protection locked="0"/>
    </xf>
    <xf numFmtId="10" fontId="30" fillId="0" borderId="109" xfId="5890" applyNumberFormat="1" applyFont="1" applyFill="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7" fontId="30" fillId="63" borderId="109" xfId="5890" applyNumberFormat="1" applyFont="1" applyFill="1" applyBorder="1" applyProtection="1">
      <alignment vertical="center"/>
      <protection locked="0"/>
    </xf>
    <xf numFmtId="0" fontId="30" fillId="63" borderId="109" xfId="5892" applyNumberFormat="1"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Fill="1" applyBorder="1" applyAlignment="1" applyProtection="1">
      <alignment vertical="center"/>
      <protection locked="0"/>
    </xf>
    <xf numFmtId="0" fontId="29" fillId="0" borderId="109" xfId="5895" applyFont="1" applyFill="1" applyBorder="1" applyAlignment="1" applyProtection="1">
      <alignment vertical="center"/>
      <protection locked="0"/>
    </xf>
    <xf numFmtId="0" fontId="29" fillId="0" borderId="147" xfId="5895" applyFont="1" applyFill="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Fill="1" applyBorder="1" applyAlignment="1" applyProtection="1">
      <alignment horizontal="right" vertical="center" wrapText="1"/>
      <protection locked="0"/>
    </xf>
    <xf numFmtId="11" fontId="30" fillId="0" borderId="109" xfId="5890" applyNumberFormat="1" applyFont="1" applyFill="1" applyBorder="1" applyAlignment="1" applyProtection="1">
      <alignment horizontal="right" vertical="center" wrapText="1"/>
      <protection locked="0"/>
    </xf>
    <xf numFmtId="182"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Fill="1" applyBorder="1" applyAlignment="1" applyProtection="1">
      <alignment horizontal="center" vertical="center" wrapText="1"/>
      <protection locked="0"/>
    </xf>
    <xf numFmtId="10" fontId="30" fillId="0" borderId="0" xfId="5890" applyNumberFormat="1" applyFont="1" applyFill="1" applyBorder="1" applyAlignment="1" applyProtection="1">
      <protection locked="0"/>
    </xf>
    <xf numFmtId="0" fontId="80" fillId="0" borderId="0" xfId="5890" applyFont="1" applyFill="1" applyBorder="1" applyAlignment="1" applyProtection="1">
      <protection locked="0"/>
    </xf>
    <xf numFmtId="0" fontId="29" fillId="0" borderId="110" xfId="5895" applyFont="1" applyFill="1" applyBorder="1" applyAlignment="1" applyProtection="1">
      <alignment horizontal="center" vertical="center" wrapText="1"/>
      <protection hidden="1"/>
    </xf>
    <xf numFmtId="0" fontId="33" fillId="0" borderId="109" xfId="5895" applyFont="1" applyFill="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Fill="1" applyBorder="1" applyAlignment="1" applyProtection="1">
      <alignment horizontal="center" vertical="center" wrapText="1"/>
      <protection hidden="1"/>
    </xf>
    <xf numFmtId="0" fontId="80" fillId="0" borderId="0" xfId="1087" applyFont="1" applyBorder="1" applyAlignment="1">
      <alignment vertical="center" wrapText="1"/>
    </xf>
    <xf numFmtId="0" fontId="80" fillId="0" borderId="0" xfId="1087" applyFont="1" applyBorder="1">
      <alignment vertical="center"/>
    </xf>
    <xf numFmtId="0" fontId="30" fillId="28" borderId="147" xfId="0" applyFont="1" applyFill="1" applyBorder="1" applyProtection="1">
      <protection locked="0"/>
    </xf>
    <xf numFmtId="0" fontId="30" fillId="0" borderId="109" xfId="5890" applyFont="1" applyFill="1" applyBorder="1" applyAlignment="1" applyProtection="1">
      <alignment horizontal="right"/>
    </xf>
    <xf numFmtId="0" fontId="33" fillId="0" borderId="0" xfId="42" applyFont="1" applyFill="1" applyBorder="1" applyAlignment="1">
      <alignment horizontal="right" vertical="center"/>
    </xf>
    <xf numFmtId="0" fontId="34" fillId="0" borderId="0" xfId="46" applyFont="1" applyFill="1" applyBorder="1" applyAlignment="1">
      <alignment horizontal="center" vertical="center" wrapText="1"/>
    </xf>
    <xf numFmtId="0" fontId="88" fillId="0" borderId="0" xfId="46" applyFont="1" applyFill="1" applyBorder="1" applyAlignment="1">
      <alignment vertical="center" wrapText="1"/>
    </xf>
    <xf numFmtId="0" fontId="32" fillId="0" borderId="0" xfId="46" applyFont="1" applyFill="1" applyBorder="1" applyAlignment="1">
      <alignment vertical="center" wrapText="1"/>
    </xf>
    <xf numFmtId="0" fontId="31" fillId="0" borderId="27" xfId="46" applyFont="1" applyFill="1" applyBorder="1" applyAlignment="1" applyProtection="1">
      <alignment horizontal="center" vertical="center" wrapText="1"/>
      <protection locked="0"/>
    </xf>
    <xf numFmtId="0" fontId="80" fillId="0" borderId="147" xfId="5890" applyFont="1" applyFill="1" applyBorder="1" applyProtection="1">
      <alignment vertical="center"/>
      <protection locked="0"/>
    </xf>
    <xf numFmtId="0" fontId="80" fillId="0" borderId="109" xfId="5890" applyFont="1" applyFill="1" applyBorder="1" applyProtection="1">
      <alignment vertical="center"/>
      <protection locked="0"/>
    </xf>
    <xf numFmtId="0" fontId="80" fillId="0" borderId="0" xfId="5890" applyFont="1" applyProtection="1">
      <alignment vertical="center"/>
      <protection locked="0"/>
    </xf>
    <xf numFmtId="0" fontId="96" fillId="0" borderId="160" xfId="1" applyFont="1" applyFill="1" applyBorder="1" applyAlignment="1">
      <alignment horizontal="center" vertical="center" wrapText="1"/>
    </xf>
    <xf numFmtId="0" fontId="96" fillId="0" borderId="161" xfId="1" applyFont="1" applyFill="1" applyBorder="1" applyAlignment="1">
      <alignment horizontal="center" vertical="center" wrapText="1"/>
    </xf>
    <xf numFmtId="11" fontId="33" fillId="0" borderId="190" xfId="42" applyNumberFormat="1" applyFont="1" applyFill="1" applyBorder="1" applyAlignment="1">
      <alignment horizontal="right" vertical="center" wrapText="1"/>
    </xf>
    <xf numFmtId="11" fontId="33" fillId="0" borderId="191" xfId="42" applyNumberFormat="1" applyFont="1" applyFill="1" applyBorder="1" applyAlignment="1">
      <alignment horizontal="right" vertical="center" wrapText="1"/>
    </xf>
    <xf numFmtId="11" fontId="33" fillId="0" borderId="228" xfId="42" applyNumberFormat="1" applyFont="1" applyFill="1" applyBorder="1" applyAlignment="1">
      <alignment horizontal="right" vertical="center" wrapText="1"/>
    </xf>
    <xf numFmtId="11" fontId="33" fillId="0" borderId="223" xfId="42" applyNumberFormat="1" applyFont="1" applyFill="1" applyBorder="1" applyAlignment="1">
      <alignment horizontal="right" vertical="center" wrapText="1"/>
    </xf>
    <xf numFmtId="11" fontId="33" fillId="0" borderId="221" xfId="42" applyNumberFormat="1" applyFont="1" applyFill="1" applyBorder="1" applyAlignment="1">
      <alignment horizontal="right" vertical="center" wrapText="1"/>
    </xf>
    <xf numFmtId="11" fontId="33" fillId="0" borderId="222" xfId="42" applyNumberFormat="1" applyFont="1" applyFill="1" applyBorder="1" applyAlignment="1">
      <alignment horizontal="right" vertical="center" wrapText="1"/>
    </xf>
    <xf numFmtId="11" fontId="33" fillId="0" borderId="205" xfId="42" applyNumberFormat="1" applyFont="1" applyFill="1" applyBorder="1" applyAlignment="1">
      <alignment horizontal="right" vertical="center" wrapText="1"/>
    </xf>
    <xf numFmtId="11" fontId="33" fillId="0" borderId="157" xfId="42" applyNumberFormat="1" applyFont="1" applyFill="1" applyBorder="1" applyAlignment="1">
      <alignment horizontal="right" vertical="center" wrapText="1"/>
    </xf>
    <xf numFmtId="11" fontId="33" fillId="0" borderId="224" xfId="42" applyNumberFormat="1" applyFont="1" applyFill="1" applyBorder="1" applyAlignment="1">
      <alignment horizontal="right" vertical="center" wrapText="1"/>
    </xf>
    <xf numFmtId="11" fontId="33" fillId="0" borderId="229" xfId="42" applyNumberFormat="1" applyFont="1" applyFill="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8" fontId="30" fillId="0" borderId="0" xfId="5890" applyNumberFormat="1" applyFont="1" applyProtection="1">
      <alignment vertical="center"/>
      <protection locked="0"/>
    </xf>
    <xf numFmtId="0" fontId="97" fillId="0" borderId="0" xfId="46" applyFont="1" applyFill="1">
      <alignment vertical="center"/>
    </xf>
    <xf numFmtId="10" fontId="33" fillId="0" borderId="228" xfId="46" applyNumberFormat="1" applyFont="1" applyFill="1" applyBorder="1" applyAlignment="1">
      <alignment horizontal="right" vertical="center" wrapText="1"/>
    </xf>
    <xf numFmtId="10" fontId="33" fillId="0" borderId="222" xfId="46" applyNumberFormat="1" applyFont="1" applyFill="1" applyBorder="1" applyAlignment="1">
      <alignment horizontal="right" vertical="center" wrapText="1"/>
    </xf>
    <xf numFmtId="10" fontId="33" fillId="0" borderId="234" xfId="46" applyNumberFormat="1" applyFont="1" applyFill="1" applyBorder="1" applyAlignment="1">
      <alignment horizontal="right" vertical="center" wrapText="1"/>
    </xf>
    <xf numFmtId="10" fontId="33" fillId="0" borderId="221" xfId="46" applyNumberFormat="1" applyFont="1" applyFill="1" applyBorder="1" applyAlignment="1">
      <alignment horizontal="right" vertical="center" wrapText="1"/>
    </xf>
    <xf numFmtId="11" fontId="33" fillId="0" borderId="238" xfId="46" applyNumberFormat="1" applyFont="1" applyFill="1" applyBorder="1" applyAlignment="1">
      <alignment vertical="center" wrapText="1"/>
    </xf>
    <xf numFmtId="11" fontId="33" fillId="0" borderId="239" xfId="46" applyNumberFormat="1" applyFont="1" applyFill="1" applyBorder="1" applyAlignment="1">
      <alignment vertical="center" wrapText="1"/>
    </xf>
    <xf numFmtId="10" fontId="33" fillId="0" borderId="240" xfId="46" applyNumberFormat="1" applyFont="1" applyFill="1" applyBorder="1" applyAlignment="1">
      <alignment vertical="center" wrapText="1"/>
    </xf>
    <xf numFmtId="0" fontId="33" fillId="0" borderId="224" xfId="42" applyFont="1" applyFill="1" applyBorder="1" applyAlignment="1">
      <alignment horizontal="right" vertical="center"/>
    </xf>
    <xf numFmtId="11" fontId="33" fillId="0" borderId="252" xfId="42" applyNumberFormat="1" applyFont="1" applyFill="1" applyBorder="1" applyAlignment="1">
      <alignment horizontal="right" vertical="center" wrapText="1"/>
    </xf>
    <xf numFmtId="176" fontId="33" fillId="0" borderId="253" xfId="42" applyNumberFormat="1" applyFont="1" applyFill="1" applyBorder="1" applyAlignment="1">
      <alignment horizontal="right" vertical="center" wrapText="1"/>
    </xf>
    <xf numFmtId="10" fontId="33" fillId="0" borderId="253" xfId="42" applyNumberFormat="1" applyFont="1" applyFill="1" applyBorder="1" applyAlignment="1">
      <alignment horizontal="right" vertical="center" wrapText="1"/>
    </xf>
    <xf numFmtId="11" fontId="33" fillId="0" borderId="253" xfId="42" applyNumberFormat="1" applyFont="1" applyFill="1" applyBorder="1" applyAlignment="1">
      <alignment horizontal="right" vertical="center" wrapText="1"/>
    </xf>
    <xf numFmtId="10" fontId="33" fillId="0" borderId="254" xfId="42" applyNumberFormat="1" applyFont="1" applyFill="1" applyBorder="1" applyAlignment="1">
      <alignment horizontal="right" vertical="center" wrapText="1"/>
    </xf>
    <xf numFmtId="176" fontId="33" fillId="0" borderId="255" xfId="42" applyNumberFormat="1" applyFont="1" applyFill="1" applyBorder="1" applyAlignment="1">
      <alignment horizontal="right" vertical="center" wrapText="1"/>
    </xf>
    <xf numFmtId="176" fontId="33" fillId="0" borderId="256" xfId="42" applyNumberFormat="1" applyFont="1" applyFill="1" applyBorder="1" applyAlignment="1">
      <alignment horizontal="right" vertical="center" wrapText="1"/>
    </xf>
    <xf numFmtId="10" fontId="33" fillId="0" borderId="252" xfId="42" applyNumberFormat="1" applyFont="1" applyFill="1" applyBorder="1" applyAlignment="1">
      <alignment horizontal="right" vertical="center" wrapText="1"/>
    </xf>
    <xf numFmtId="10" fontId="33" fillId="0" borderId="257" xfId="42" applyNumberFormat="1" applyFont="1" applyFill="1" applyBorder="1" applyAlignment="1">
      <alignment horizontal="right" vertical="center" wrapText="1"/>
    </xf>
    <xf numFmtId="11" fontId="33" fillId="0" borderId="259" xfId="46" applyNumberFormat="1" applyFont="1" applyFill="1" applyBorder="1" applyAlignment="1">
      <alignment horizontal="right" vertical="center" wrapText="1"/>
    </xf>
    <xf numFmtId="11" fontId="33" fillId="0" borderId="255" xfId="46" applyNumberFormat="1" applyFont="1" applyFill="1" applyBorder="1" applyAlignment="1">
      <alignment horizontal="right" vertical="center" wrapText="1"/>
    </xf>
    <xf numFmtId="11" fontId="33" fillId="0" borderId="256" xfId="46" applyNumberFormat="1" applyFont="1" applyFill="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Fill="1" applyBorder="1" applyAlignment="1">
      <alignment horizontal="right" vertical="center" wrapText="1"/>
    </xf>
    <xf numFmtId="10" fontId="33" fillId="0" borderId="224" xfId="46" applyNumberFormat="1" applyFont="1" applyFill="1" applyBorder="1" applyAlignment="1">
      <alignment horizontal="right" vertical="center" wrapText="1"/>
    </xf>
    <xf numFmtId="11" fontId="33" fillId="0" borderId="262" xfId="42" applyNumberFormat="1" applyFont="1" applyFill="1" applyBorder="1" applyAlignment="1">
      <alignment horizontal="right" vertical="center" wrapText="1"/>
    </xf>
    <xf numFmtId="11" fontId="33" fillId="0" borderId="263" xfId="42" applyNumberFormat="1" applyFont="1" applyFill="1" applyBorder="1" applyAlignment="1">
      <alignment horizontal="right" vertical="center" wrapText="1"/>
    </xf>
    <xf numFmtId="11" fontId="33" fillId="0" borderId="264" xfId="42" applyNumberFormat="1" applyFont="1" applyFill="1" applyBorder="1" applyAlignment="1">
      <alignment horizontal="right" vertical="center" wrapText="1"/>
    </xf>
    <xf numFmtId="10" fontId="33" fillId="0" borderId="265" xfId="46" applyNumberFormat="1" applyFont="1" applyFill="1" applyBorder="1" applyAlignment="1">
      <alignment horizontal="right" vertical="center" wrapText="1"/>
    </xf>
    <xf numFmtId="10" fontId="33" fillId="0" borderId="266" xfId="46" applyNumberFormat="1" applyFont="1" applyFill="1" applyBorder="1" applyAlignment="1">
      <alignment horizontal="right" vertical="center" wrapText="1"/>
    </xf>
    <xf numFmtId="11" fontId="33" fillId="0" borderId="262" xfId="46" applyNumberFormat="1" applyFont="1" applyFill="1" applyBorder="1" applyAlignment="1">
      <alignment horizontal="right" vertical="center" wrapText="1"/>
    </xf>
    <xf numFmtId="11" fontId="33" fillId="0" borderId="263" xfId="46" applyNumberFormat="1" applyFont="1" applyFill="1" applyBorder="1" applyAlignment="1">
      <alignment horizontal="right" vertical="center" wrapText="1"/>
    </xf>
    <xf numFmtId="10" fontId="33" fillId="0" borderId="267" xfId="46" applyNumberFormat="1" applyFont="1" applyFill="1" applyBorder="1" applyAlignment="1">
      <alignment horizontal="right" vertical="center" wrapText="1"/>
    </xf>
    <xf numFmtId="176" fontId="33" fillId="0" borderId="258" xfId="42" applyNumberFormat="1" applyFont="1" applyFill="1" applyBorder="1" applyAlignment="1">
      <alignment horizontal="right" vertical="center" wrapText="1"/>
    </xf>
    <xf numFmtId="10" fontId="33" fillId="0" borderId="252" xfId="46" applyNumberFormat="1" applyFont="1" applyFill="1" applyBorder="1" applyAlignment="1">
      <alignment horizontal="right" vertical="center" wrapText="1"/>
    </xf>
    <xf numFmtId="10" fontId="33" fillId="0" borderId="253" xfId="46" applyNumberFormat="1" applyFont="1" applyFill="1" applyBorder="1" applyAlignment="1">
      <alignment horizontal="right" vertical="center" wrapText="1"/>
    </xf>
    <xf numFmtId="10" fontId="33" fillId="0" borderId="258" xfId="46" applyNumberFormat="1" applyFont="1" applyFill="1" applyBorder="1" applyAlignment="1">
      <alignment horizontal="right" vertical="center" wrapText="1"/>
    </xf>
    <xf numFmtId="11" fontId="33" fillId="0" borderId="268" xfId="46" applyNumberFormat="1" applyFont="1" applyFill="1" applyBorder="1" applyAlignment="1">
      <alignment horizontal="right" vertical="center" wrapText="1"/>
    </xf>
    <xf numFmtId="11" fontId="33" fillId="0" borderId="270" xfId="46" applyNumberFormat="1" applyFont="1" applyFill="1" applyBorder="1" applyAlignment="1">
      <alignment horizontal="right" vertical="center" wrapText="1"/>
    </xf>
    <xf numFmtId="11" fontId="33" fillId="0" borderId="253" xfId="46" applyNumberFormat="1" applyFont="1" applyFill="1" applyBorder="1" applyAlignment="1">
      <alignment horizontal="right" vertical="center" wrapText="1"/>
    </xf>
    <xf numFmtId="11" fontId="33" fillId="0" borderId="258" xfId="46" applyNumberFormat="1" applyFont="1" applyFill="1" applyBorder="1" applyAlignment="1">
      <alignment horizontal="right" vertical="center" wrapText="1"/>
    </xf>
    <xf numFmtId="10" fontId="33" fillId="0" borderId="271" xfId="42" applyNumberFormat="1" applyFont="1" applyFill="1" applyBorder="1" applyAlignment="1">
      <alignment horizontal="right" vertical="center" wrapText="1"/>
    </xf>
    <xf numFmtId="10" fontId="33" fillId="0" borderId="272" xfId="46" applyNumberFormat="1" applyFont="1" applyFill="1" applyBorder="1" applyAlignment="1">
      <alignment horizontal="right" vertical="center" wrapText="1"/>
    </xf>
    <xf numFmtId="10" fontId="33" fillId="0" borderId="273" xfId="46" applyNumberFormat="1" applyFont="1" applyFill="1" applyBorder="1" applyAlignment="1">
      <alignment horizontal="right" vertical="center" wrapText="1"/>
    </xf>
    <xf numFmtId="10" fontId="33" fillId="0" borderId="274" xfId="42" applyNumberFormat="1" applyFont="1" applyFill="1" applyBorder="1" applyAlignment="1">
      <alignment horizontal="right" vertical="center" wrapText="1"/>
    </xf>
    <xf numFmtId="10" fontId="33" fillId="0" borderId="274" xfId="46" applyNumberFormat="1" applyFont="1" applyFill="1" applyBorder="1" applyAlignment="1">
      <alignment horizontal="right" vertical="center" wrapText="1"/>
    </xf>
    <xf numFmtId="0" fontId="29" fillId="0" borderId="0" xfId="46" applyFont="1" applyBorder="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pplyFill="1" applyBorder="1">
      <alignment vertical="center"/>
    </xf>
    <xf numFmtId="0" fontId="95" fillId="0" borderId="0" xfId="1090" applyFont="1" applyBorder="1" applyAlignment="1">
      <alignment vertical="center" wrapText="1"/>
    </xf>
    <xf numFmtId="0" fontId="30" fillId="0" borderId="0" xfId="1091" applyFont="1" applyBorder="1">
      <alignment vertical="center"/>
    </xf>
    <xf numFmtId="0" fontId="80" fillId="0" borderId="0" xfId="1090" applyFont="1" applyBorder="1" applyAlignment="1">
      <alignment vertical="center" wrapText="1"/>
    </xf>
    <xf numFmtId="0" fontId="30" fillId="0" borderId="149" xfId="5890" applyFont="1" applyFill="1" applyBorder="1" applyAlignment="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4" xfId="5890" applyFont="1" applyFill="1" applyBorder="1" applyAlignment="1" applyProtection="1">
      <alignment vertical="center" wrapText="1"/>
      <protection hidden="1"/>
    </xf>
    <xf numFmtId="0" fontId="30" fillId="0" borderId="101" xfId="5890" applyFont="1" applyFill="1" applyBorder="1" applyAlignment="1" applyProtection="1">
      <alignment vertical="center"/>
      <protection hidden="1"/>
    </xf>
    <xf numFmtId="0" fontId="80" fillId="0" borderId="221" xfId="1087" applyFont="1" applyFill="1" applyBorder="1" applyAlignment="1">
      <alignment vertical="center" wrapText="1"/>
    </xf>
    <xf numFmtId="0" fontId="30" fillId="0" borderId="149"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Fill="1" applyBorder="1">
      <alignment vertical="center"/>
    </xf>
    <xf numFmtId="0" fontId="32" fillId="0" borderId="15" xfId="46" applyFont="1" applyFill="1" applyBorder="1" applyAlignment="1">
      <alignment vertical="center"/>
    </xf>
    <xf numFmtId="0" fontId="30" fillId="0" borderId="18" xfId="5890" applyFont="1" applyFill="1" applyBorder="1" applyAlignment="1" applyProtection="1">
      <alignment vertical="center" wrapText="1"/>
      <protection hidden="1"/>
    </xf>
    <xf numFmtId="0" fontId="30" fillId="0" borderId="109" xfId="5890" applyFont="1" applyFill="1" applyBorder="1" applyAlignment="1" applyProtection="1">
      <alignment wrapText="1"/>
      <protection hidden="1"/>
    </xf>
    <xf numFmtId="0" fontId="30" fillId="0" borderId="15" xfId="5890" applyFont="1" applyFill="1" applyBorder="1" applyAlignment="1" applyProtection="1">
      <alignment vertical="center" wrapText="1"/>
      <protection hidden="1"/>
    </xf>
    <xf numFmtId="0" fontId="30" fillId="0" borderId="147" xfId="5890" applyFont="1" applyFill="1" applyBorder="1" applyAlignment="1" applyProtection="1">
      <alignment vertical="center" wrapText="1"/>
      <protection locked="0"/>
    </xf>
    <xf numFmtId="0" fontId="30" fillId="0" borderId="149" xfId="5890" applyFont="1" applyFill="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Fill="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Fill="1" applyBorder="1" applyAlignment="1" applyProtection="1">
      <alignment wrapText="1"/>
      <protection hidden="1"/>
    </xf>
    <xf numFmtId="0" fontId="30" fillId="0" borderId="110" xfId="5891" applyFont="1" applyFill="1" applyBorder="1" applyAlignment="1" applyProtection="1">
      <alignment vertical="center"/>
      <protection hidden="1"/>
    </xf>
    <xf numFmtId="0" fontId="30" fillId="0" borderId="19" xfId="5891" applyFont="1" applyFill="1" applyBorder="1" applyAlignment="1" applyProtection="1">
      <alignment vertical="center"/>
      <protection hidden="1"/>
    </xf>
    <xf numFmtId="0" fontId="30" fillId="0" borderId="148" xfId="5891" applyFont="1" applyFill="1" applyBorder="1" applyAlignment="1" applyProtection="1">
      <alignment vertical="center"/>
      <protection hidden="1"/>
    </xf>
    <xf numFmtId="0" fontId="30" fillId="0" borderId="89" xfId="5891" applyFont="1" applyFill="1" applyBorder="1" applyAlignment="1" applyProtection="1">
      <alignment vertical="center"/>
      <protection hidden="1"/>
    </xf>
    <xf numFmtId="0" fontId="30" fillId="0" borderId="170" xfId="5891" applyFont="1" applyFill="1" applyBorder="1" applyAlignment="1" applyProtection="1">
      <alignment vertical="center"/>
      <protection hidden="1"/>
    </xf>
    <xf numFmtId="0" fontId="30" fillId="0" borderId="96" xfId="5891" applyFont="1" applyFill="1" applyBorder="1" applyAlignment="1" applyProtection="1">
      <alignment vertical="center"/>
      <protection hidden="1"/>
    </xf>
    <xf numFmtId="0" fontId="30" fillId="0" borderId="97" xfId="5891" applyFont="1" applyFill="1" applyBorder="1" applyAlignment="1" applyProtection="1">
      <alignment vertical="center"/>
      <protection hidden="1"/>
    </xf>
    <xf numFmtId="0" fontId="30" fillId="0" borderId="102" xfId="5891" applyFont="1" applyFill="1" applyBorder="1" applyAlignment="1" applyProtection="1">
      <alignment vertical="center"/>
      <protection hidden="1"/>
    </xf>
    <xf numFmtId="0" fontId="30" fillId="0" borderId="207" xfId="5891" applyFont="1" applyFill="1" applyBorder="1" applyAlignment="1" applyProtection="1">
      <alignment vertical="center"/>
      <protection hidden="1"/>
    </xf>
    <xf numFmtId="0" fontId="30" fillId="0" borderId="221" xfId="5891" applyFont="1" applyFill="1" applyBorder="1" applyAlignment="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Fill="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Fill="1" applyBorder="1" applyAlignment="1" applyProtection="1">
      <alignment vertical="center"/>
      <protection hidden="1"/>
    </xf>
    <xf numFmtId="0" fontId="30" fillId="0" borderId="58" xfId="5891" applyFont="1" applyFill="1" applyBorder="1" applyAlignment="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Fill="1" applyBorder="1" applyProtection="1">
      <alignment vertical="center"/>
      <protection locked="0"/>
    </xf>
    <xf numFmtId="11" fontId="30" fillId="0" borderId="221" xfId="5890" applyNumberFormat="1" applyFont="1" applyFill="1" applyBorder="1" applyAlignment="1" applyProtection="1">
      <alignment vertical="center"/>
      <protection locked="0"/>
    </xf>
    <xf numFmtId="176" fontId="33" fillId="0" borderId="20" xfId="11268" applyNumberFormat="1" applyFont="1" applyFill="1" applyBorder="1" applyAlignment="1">
      <alignment horizontal="right" vertical="center" wrapText="1"/>
    </xf>
    <xf numFmtId="176" fontId="33" fillId="0" borderId="23" xfId="11268" applyNumberFormat="1" applyFont="1" applyFill="1" applyBorder="1" applyAlignment="1">
      <alignment horizontal="right" vertical="center" wrapText="1"/>
    </xf>
    <xf numFmtId="176" fontId="33" fillId="0" borderId="252" xfId="11268" applyNumberFormat="1" applyFont="1" applyFill="1" applyBorder="1" applyAlignment="1">
      <alignment horizontal="right" vertical="center" wrapText="1"/>
    </xf>
    <xf numFmtId="177" fontId="33" fillId="0" borderId="15" xfId="42" applyNumberFormat="1" applyFont="1" applyFill="1" applyBorder="1" applyAlignment="1">
      <alignment horizontal="right" vertical="center" wrapText="1"/>
    </xf>
    <xf numFmtId="177" fontId="33" fillId="0" borderId="16" xfId="42" applyNumberFormat="1" applyFont="1" applyFill="1" applyBorder="1" applyAlignment="1">
      <alignment horizontal="right" vertical="center" wrapText="1"/>
    </xf>
    <xf numFmtId="177" fontId="33" fillId="0" borderId="14" xfId="42" applyNumberFormat="1" applyFont="1" applyFill="1" applyBorder="1" applyAlignment="1">
      <alignment horizontal="right" vertical="center" wrapText="1"/>
    </xf>
    <xf numFmtId="177" fontId="33" fillId="0" borderId="22" xfId="42" applyNumberFormat="1" applyFont="1" applyFill="1" applyBorder="1" applyAlignment="1">
      <alignment horizontal="right" vertical="center" wrapText="1"/>
    </xf>
    <xf numFmtId="177" fontId="33" fillId="0" borderId="253" xfId="42" applyNumberFormat="1" applyFont="1" applyFill="1" applyBorder="1" applyAlignment="1">
      <alignment horizontal="right" vertical="center" wrapText="1"/>
    </xf>
    <xf numFmtId="177" fontId="33" fillId="0" borderId="258" xfId="42" applyNumberFormat="1" applyFont="1" applyFill="1" applyBorder="1" applyAlignment="1">
      <alignment horizontal="right" vertical="center" wrapText="1"/>
    </xf>
    <xf numFmtId="176" fontId="33" fillId="0" borderId="206" xfId="42" applyNumberFormat="1" applyFont="1" applyFill="1" applyBorder="1" applyAlignment="1">
      <alignment horizontal="right" vertical="center" wrapText="1"/>
    </xf>
    <xf numFmtId="176" fontId="33" fillId="0" borderId="127" xfId="42" applyNumberFormat="1" applyFont="1" applyFill="1" applyBorder="1" applyAlignment="1">
      <alignment horizontal="right" vertical="center" wrapText="1"/>
    </xf>
    <xf numFmtId="176" fontId="33" fillId="0" borderId="179" xfId="42" applyNumberFormat="1" applyFont="1" applyFill="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applyBorder="1" applyAlignment="1"/>
    <xf numFmtId="11" fontId="30" fillId="0" borderId="0" xfId="0" applyNumberFormat="1" applyFont="1" applyBorder="1"/>
    <xf numFmtId="11" fontId="30" fillId="0" borderId="60" xfId="0" applyNumberFormat="1" applyFont="1" applyBorder="1"/>
    <xf numFmtId="11" fontId="30" fillId="0" borderId="162" xfId="0" applyNumberFormat="1" applyFont="1" applyBorder="1"/>
    <xf numFmtId="11" fontId="30" fillId="0" borderId="161" xfId="0" applyNumberFormat="1" applyFont="1" applyBorder="1"/>
    <xf numFmtId="0" fontId="80" fillId="0" borderId="54" xfId="0" applyFont="1" applyFill="1" applyBorder="1" applyAlignment="1">
      <alignment horizontal="center"/>
    </xf>
    <xf numFmtId="0" fontId="80" fillId="0" borderId="62" xfId="0" applyFont="1" applyFill="1" applyBorder="1" applyAlignment="1">
      <alignment horizontal="center"/>
    </xf>
    <xf numFmtId="0" fontId="94" fillId="0" borderId="26" xfId="1" applyFont="1" applyFill="1" applyBorder="1" applyAlignment="1" applyProtection="1">
      <alignment vertical="center" wrapText="1"/>
      <protection locked="0"/>
    </xf>
    <xf numFmtId="0" fontId="94" fillId="0" borderId="204" xfId="1" applyFont="1" applyFill="1" applyBorder="1" applyAlignment="1" applyProtection="1">
      <alignment vertical="center" wrapText="1"/>
      <protection locked="0"/>
    </xf>
    <xf numFmtId="0" fontId="94" fillId="0" borderId="28" xfId="1" applyFont="1" applyFill="1" applyBorder="1" applyAlignment="1" applyProtection="1">
      <alignment vertical="center" wrapText="1"/>
      <protection locked="0"/>
    </xf>
    <xf numFmtId="0" fontId="32" fillId="22" borderId="280" xfId="46" applyFont="1" applyFill="1" applyBorder="1" applyAlignment="1">
      <alignment vertical="center" wrapText="1"/>
    </xf>
    <xf numFmtId="0" fontId="32" fillId="3" borderId="281" xfId="46" applyFont="1" applyFill="1" applyBorder="1" applyAlignment="1">
      <alignment vertical="center" wrapText="1"/>
    </xf>
    <xf numFmtId="0" fontId="32" fillId="4" borderId="282" xfId="46" applyFont="1" applyFill="1" applyBorder="1" applyAlignment="1">
      <alignment vertical="center" wrapText="1"/>
    </xf>
    <xf numFmtId="185" fontId="33" fillId="0" borderId="18" xfId="42" applyNumberFormat="1" applyFont="1" applyFill="1" applyBorder="1" applyAlignment="1">
      <alignment horizontal="right" vertical="center" wrapText="1"/>
    </xf>
    <xf numFmtId="185" fontId="33" fillId="0" borderId="15" xfId="42" applyNumberFormat="1" applyFont="1" applyFill="1" applyBorder="1" applyAlignment="1">
      <alignment horizontal="right" vertical="center" wrapText="1"/>
    </xf>
    <xf numFmtId="185" fontId="33" fillId="0" borderId="14" xfId="42" applyNumberFormat="1" applyFont="1" applyFill="1" applyBorder="1" applyAlignment="1">
      <alignment horizontal="right" vertical="center" wrapText="1"/>
    </xf>
    <xf numFmtId="185" fontId="33" fillId="0" borderId="253" xfId="42" applyNumberFormat="1" applyFont="1" applyFill="1" applyBorder="1" applyAlignment="1">
      <alignment horizontal="right" vertical="center" wrapText="1"/>
    </xf>
    <xf numFmtId="0" fontId="34" fillId="0" borderId="0" xfId="46" applyFont="1">
      <alignment vertical="center"/>
    </xf>
    <xf numFmtId="0" fontId="30" fillId="89" borderId="147" xfId="0" applyFont="1" applyFill="1" applyBorder="1" applyProtection="1">
      <protection locked="0"/>
    </xf>
    <xf numFmtId="0" fontId="30" fillId="28" borderId="147" xfId="0" applyFont="1" applyFill="1" applyBorder="1" applyAlignment="1" applyProtection="1">
      <protection locked="0"/>
    </xf>
    <xf numFmtId="179" fontId="30" fillId="28" borderId="147" xfId="0" applyNumberFormat="1" applyFont="1" applyFill="1" applyBorder="1" applyAlignment="1" applyProtection="1">
      <protection locked="0"/>
    </xf>
    <xf numFmtId="0" fontId="0" fillId="28" borderId="147" xfId="0" applyFill="1" applyBorder="1" applyProtection="1">
      <protection locked="0"/>
    </xf>
    <xf numFmtId="0" fontId="30" fillId="28" borderId="147" xfId="0" applyNumberFormat="1" applyFont="1" applyFill="1" applyBorder="1" applyAlignment="1" applyProtection="1">
      <protection locked="0"/>
    </xf>
    <xf numFmtId="0" fontId="32" fillId="0" borderId="279" xfId="46" applyFont="1" applyFill="1" applyBorder="1" applyAlignment="1">
      <alignment horizontal="center" vertical="center" wrapText="1"/>
    </xf>
    <xf numFmtId="0" fontId="32" fillId="0" borderId="30" xfId="46" applyFont="1" applyFill="1" applyBorder="1" applyAlignment="1">
      <alignment horizontal="center" vertical="center" wrapText="1"/>
    </xf>
    <xf numFmtId="0" fontId="32" fillId="0" borderId="9" xfId="46" applyFont="1" applyFill="1" applyBorder="1" applyAlignment="1">
      <alignment horizontal="center" vertical="center" wrapText="1"/>
    </xf>
    <xf numFmtId="0" fontId="32" fillId="0" borderId="31" xfId="46" applyFont="1" applyFill="1" applyBorder="1" applyAlignment="1">
      <alignment horizontal="center" vertical="center" wrapText="1"/>
    </xf>
    <xf numFmtId="0" fontId="32" fillId="0" borderId="29" xfId="46" applyFont="1" applyFill="1" applyBorder="1" applyAlignment="1">
      <alignment horizontal="center" vertical="center" wrapText="1"/>
    </xf>
    <xf numFmtId="0" fontId="32" fillId="0" borderId="32" xfId="46" applyFont="1" applyFill="1" applyBorder="1" applyAlignment="1">
      <alignment horizontal="center" vertical="center" wrapText="1"/>
    </xf>
    <xf numFmtId="0" fontId="32" fillId="0" borderId="215" xfId="1" applyFont="1" applyFill="1" applyBorder="1" applyAlignment="1">
      <alignment horizontal="center" vertical="center" wrapText="1"/>
    </xf>
    <xf numFmtId="0" fontId="32" fillId="0" borderId="180" xfId="1" applyFont="1" applyFill="1" applyBorder="1" applyAlignment="1">
      <alignment horizontal="center" vertical="center" wrapText="1"/>
    </xf>
    <xf numFmtId="0" fontId="32" fillId="0" borderId="164" xfId="1" applyFont="1" applyFill="1" applyBorder="1" applyAlignment="1">
      <alignment horizontal="center" vertical="center" wrapText="1"/>
    </xf>
    <xf numFmtId="0" fontId="32" fillId="0" borderId="31" xfId="1" applyFont="1" applyFill="1" applyBorder="1" applyAlignment="1">
      <alignment horizontal="center" vertical="center" wrapText="1"/>
    </xf>
    <xf numFmtId="0" fontId="32" fillId="0" borderId="18" xfId="1" applyFont="1" applyFill="1" applyBorder="1" applyAlignment="1">
      <alignment horizontal="center" vertical="center" wrapText="1"/>
    </xf>
    <xf numFmtId="10" fontId="33" fillId="0" borderId="164" xfId="42" applyNumberFormat="1" applyFont="1" applyFill="1" applyBorder="1" applyAlignment="1">
      <alignment horizontal="right" vertical="center" wrapText="1"/>
    </xf>
    <xf numFmtId="10" fontId="33" fillId="0" borderId="31" xfId="42" applyNumberFormat="1" applyFont="1" applyFill="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Fill="1" applyBorder="1" applyAlignment="1">
      <alignment horizontal="center" vertical="center" wrapText="1"/>
    </xf>
    <xf numFmtId="0" fontId="32" fillId="0" borderId="59" xfId="1" applyFont="1" applyFill="1" applyBorder="1" applyAlignment="1">
      <alignment horizontal="center" vertical="center" wrapText="1"/>
    </xf>
    <xf numFmtId="0" fontId="32" fillId="0" borderId="169" xfId="1" applyFont="1" applyFill="1" applyBorder="1" applyAlignment="1">
      <alignment horizontal="center" vertical="center" wrapText="1"/>
    </xf>
    <xf numFmtId="0" fontId="32" fillId="0" borderId="171" xfId="1" applyFont="1" applyFill="1" applyBorder="1" applyAlignment="1">
      <alignment horizontal="center" vertical="center" wrapText="1"/>
    </xf>
    <xf numFmtId="0" fontId="32" fillId="0" borderId="172" xfId="1" applyFont="1" applyFill="1" applyBorder="1" applyAlignment="1">
      <alignment horizontal="center" vertical="center" wrapText="1"/>
    </xf>
    <xf numFmtId="0" fontId="32" fillId="0" borderId="173" xfId="1" applyFont="1" applyFill="1" applyBorder="1" applyAlignment="1">
      <alignment horizontal="center" vertical="center" wrapText="1"/>
    </xf>
    <xf numFmtId="0" fontId="32" fillId="0" borderId="276" xfId="1" applyFont="1" applyFill="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Fill="1" applyBorder="1" applyAlignment="1">
      <alignment horizontal="center" vertical="center" wrapText="1"/>
    </xf>
    <xf numFmtId="0" fontId="32" fillId="0" borderId="208" xfId="1" applyFont="1" applyFill="1" applyBorder="1" applyAlignment="1">
      <alignment horizontal="center" vertical="center" wrapText="1"/>
    </xf>
    <xf numFmtId="0" fontId="32" fillId="0" borderId="196" xfId="1" applyFont="1" applyFill="1" applyBorder="1" applyAlignment="1">
      <alignment horizontal="center" vertical="center" wrapText="1"/>
    </xf>
    <xf numFmtId="0" fontId="32" fillId="0" borderId="117" xfId="1" applyFont="1" applyFill="1" applyBorder="1" applyAlignment="1">
      <alignment horizontal="center" vertical="center" wrapText="1"/>
    </xf>
    <xf numFmtId="11" fontId="33" fillId="0" borderId="239" xfId="46" applyNumberFormat="1" applyFont="1" applyFill="1" applyBorder="1" applyAlignment="1">
      <alignment horizontal="center" vertical="center" wrapText="1"/>
    </xf>
    <xf numFmtId="0" fontId="88" fillId="0" borderId="36" xfId="1" applyFont="1" applyFill="1" applyBorder="1" applyAlignment="1">
      <alignment horizontal="center" vertical="center" wrapText="1"/>
    </xf>
    <xf numFmtId="0" fontId="88" fillId="0" borderId="63" xfId="1" applyFont="1" applyFill="1" applyBorder="1" applyAlignment="1">
      <alignment horizontal="center" vertical="center" wrapText="1"/>
    </xf>
    <xf numFmtId="0" fontId="88" fillId="0" borderId="38" xfId="1" applyFont="1" applyFill="1" applyBorder="1" applyAlignment="1">
      <alignment horizontal="center" vertical="center" wrapText="1"/>
    </xf>
    <xf numFmtId="0" fontId="88" fillId="0" borderId="104" xfId="1" applyFont="1" applyFill="1" applyBorder="1" applyAlignment="1">
      <alignment horizontal="center" vertical="center" wrapText="1"/>
    </xf>
    <xf numFmtId="0" fontId="33" fillId="0" borderId="250" xfId="42" applyFont="1" applyFill="1" applyBorder="1" applyAlignment="1">
      <alignment horizontal="right" vertical="center" wrapText="1"/>
    </xf>
    <xf numFmtId="0" fontId="33" fillId="0" borderId="251" xfId="42" applyFont="1" applyFill="1" applyBorder="1" applyAlignment="1">
      <alignment horizontal="right" vertical="center" wrapText="1"/>
    </xf>
    <xf numFmtId="0" fontId="85" fillId="91" borderId="24" xfId="1" applyFont="1" applyFill="1" applyBorder="1" applyAlignment="1">
      <alignment horizontal="center" vertical="center" wrapText="1"/>
    </xf>
    <xf numFmtId="0" fontId="88" fillId="0" borderId="36" xfId="0" applyFont="1" applyFill="1" applyBorder="1" applyAlignment="1">
      <alignment horizontal="center" vertical="center" wrapText="1"/>
    </xf>
    <xf numFmtId="0" fontId="88" fillId="0" borderId="63" xfId="0" applyFont="1" applyFill="1" applyBorder="1" applyAlignment="1">
      <alignment horizontal="center" vertical="center" wrapText="1"/>
    </xf>
    <xf numFmtId="0" fontId="88" fillId="0" borderId="150" xfId="0" applyFont="1" applyFill="1" applyBorder="1" applyAlignment="1">
      <alignment horizontal="center" vertical="center" wrapText="1"/>
    </xf>
    <xf numFmtId="0" fontId="88" fillId="0" borderId="151" xfId="0" applyFont="1" applyFill="1" applyBorder="1" applyAlignment="1">
      <alignment horizontal="center" vertical="center" wrapText="1"/>
    </xf>
    <xf numFmtId="0" fontId="32" fillId="0" borderId="14" xfId="46" applyFont="1" applyFill="1" applyBorder="1" applyAlignment="1">
      <alignment horizontal="center" vertical="center" wrapText="1"/>
    </xf>
    <xf numFmtId="0" fontId="32" fillId="0" borderId="174" xfId="46" applyFont="1" applyFill="1" applyBorder="1" applyAlignment="1">
      <alignment horizontal="center" vertical="center" wrapText="1"/>
    </xf>
    <xf numFmtId="0" fontId="74" fillId="0" borderId="14" xfId="1" applyFont="1" applyFill="1" applyBorder="1" applyAlignment="1">
      <alignment horizontal="center" vertical="center" wrapText="1"/>
    </xf>
    <xf numFmtId="0" fontId="74" fillId="0" borderId="31" xfId="1" applyFont="1" applyFill="1" applyBorder="1" applyAlignment="1">
      <alignment horizontal="center" vertical="center" wrapText="1"/>
    </xf>
    <xf numFmtId="0" fontId="74" fillId="0" borderId="18" xfId="1" applyFont="1" applyFill="1" applyBorder="1" applyAlignment="1">
      <alignment horizontal="center" vertical="center" wrapText="1"/>
    </xf>
    <xf numFmtId="0" fontId="88" fillId="0" borderId="82" xfId="1" applyFont="1" applyFill="1" applyBorder="1" applyAlignment="1">
      <alignment horizontal="center" vertical="center" wrapText="1"/>
    </xf>
    <xf numFmtId="0" fontId="88" fillId="0" borderId="12" xfId="1" applyFont="1" applyFill="1" applyBorder="1" applyAlignment="1">
      <alignment horizontal="center" vertical="center" wrapText="1"/>
    </xf>
    <xf numFmtId="0" fontId="88" fillId="0" borderId="225" xfId="1" applyFont="1" applyFill="1" applyBorder="1" applyAlignment="1">
      <alignment horizontal="center" vertical="center" wrapText="1"/>
    </xf>
    <xf numFmtId="0" fontId="88" fillId="0" borderId="226" xfId="1" applyFont="1" applyFill="1" applyBorder="1" applyAlignment="1">
      <alignment horizontal="center" vertical="center" wrapText="1"/>
    </xf>
    <xf numFmtId="0" fontId="88" fillId="0" borderId="227" xfId="1" applyFont="1" applyFill="1" applyBorder="1" applyAlignment="1">
      <alignment horizontal="center" vertical="center" wrapText="1"/>
    </xf>
    <xf numFmtId="10" fontId="33" fillId="0" borderId="113" xfId="42" applyNumberFormat="1" applyFont="1" applyFill="1" applyBorder="1" applyAlignment="1">
      <alignment horizontal="right" vertical="center" wrapText="1"/>
    </xf>
    <xf numFmtId="10" fontId="33" fillId="0" borderId="9" xfId="42" applyNumberFormat="1" applyFont="1" applyFill="1" applyBorder="1" applyAlignment="1">
      <alignment horizontal="right" vertical="center" wrapText="1"/>
    </xf>
    <xf numFmtId="0" fontId="32" fillId="0" borderId="213" xfId="1" applyFont="1" applyFill="1" applyBorder="1" applyAlignment="1">
      <alignment horizontal="center" vertical="center" wrapText="1"/>
    </xf>
    <xf numFmtId="0" fontId="32" fillId="0" borderId="214" xfId="1" applyFont="1" applyFill="1" applyBorder="1" applyAlignment="1">
      <alignment horizontal="center" vertical="center" wrapText="1"/>
    </xf>
    <xf numFmtId="0" fontId="88" fillId="0" borderId="36" xfId="46" applyFont="1" applyFill="1" applyBorder="1" applyAlignment="1">
      <alignment horizontal="center" vertical="center" wrapText="1"/>
    </xf>
    <xf numFmtId="0" fontId="88" fillId="0" borderId="63" xfId="46" applyFont="1" applyFill="1" applyBorder="1" applyAlignment="1">
      <alignment horizontal="center" vertical="center" wrapText="1"/>
    </xf>
    <xf numFmtId="0" fontId="88" fillId="0" borderId="38" xfId="46" applyFont="1" applyFill="1" applyBorder="1" applyAlignment="1">
      <alignment horizontal="center" vertical="center" wrapText="1"/>
    </xf>
    <xf numFmtId="0" fontId="88" fillId="0" borderId="104" xfId="46" applyFont="1" applyFill="1" applyBorder="1" applyAlignment="1">
      <alignment horizontal="center" vertical="center" wrapText="1"/>
    </xf>
    <xf numFmtId="0" fontId="88" fillId="0" borderId="225" xfId="46" applyFont="1" applyFill="1" applyBorder="1" applyAlignment="1">
      <alignment horizontal="center" vertical="center" wrapText="1"/>
    </xf>
    <xf numFmtId="0" fontId="88" fillId="0" borderId="227" xfId="46" applyFont="1" applyFill="1" applyBorder="1" applyAlignment="1">
      <alignment horizontal="center" vertical="center" wrapText="1"/>
    </xf>
    <xf numFmtId="0" fontId="74" fillId="0" borderId="203" xfId="46" applyFont="1" applyFill="1" applyBorder="1" applyAlignment="1">
      <alignment horizontal="center" vertical="center" wrapText="1"/>
    </xf>
    <xf numFmtId="0" fontId="74" fillId="0" borderId="39" xfId="46" applyFont="1" applyFill="1" applyBorder="1" applyAlignment="1">
      <alignment horizontal="center" vertical="center" wrapText="1"/>
    </xf>
    <xf numFmtId="0" fontId="74" fillId="0" borderId="237" xfId="46" applyFont="1" applyFill="1" applyBorder="1" applyAlignment="1">
      <alignment horizontal="center" vertical="center" wrapText="1"/>
    </xf>
    <xf numFmtId="0" fontId="74" fillId="0" borderId="163" xfId="46" applyFont="1" applyFill="1" applyBorder="1" applyAlignment="1">
      <alignment horizontal="center" vertical="center" wrapText="1"/>
    </xf>
    <xf numFmtId="0" fontId="74" fillId="0" borderId="59" xfId="46" applyFont="1" applyFill="1" applyBorder="1" applyAlignment="1">
      <alignment horizontal="center" vertical="center" wrapText="1"/>
    </xf>
    <xf numFmtId="0" fontId="74" fillId="0" borderId="122" xfId="46" applyFont="1" applyFill="1" applyBorder="1" applyAlignment="1">
      <alignment horizontal="center" vertical="center" wrapText="1"/>
    </xf>
    <xf numFmtId="0" fontId="74" fillId="0" borderId="10" xfId="1" applyFont="1" applyFill="1" applyBorder="1" applyAlignment="1">
      <alignment horizontal="center" vertical="center" wrapText="1"/>
    </xf>
    <xf numFmtId="0" fontId="74" fillId="0" borderId="11" xfId="1" applyFont="1" applyFill="1" applyBorder="1" applyAlignment="1">
      <alignment horizontal="center" vertical="center" wrapText="1"/>
    </xf>
    <xf numFmtId="0" fontId="74" fillId="0" borderId="100" xfId="1" applyFont="1" applyFill="1" applyBorder="1" applyAlignment="1">
      <alignment horizontal="center" vertical="center" wrapText="1"/>
    </xf>
    <xf numFmtId="0" fontId="74" fillId="0" borderId="35" xfId="1" applyFont="1" applyFill="1" applyBorder="1" applyAlignment="1">
      <alignment horizontal="center" vertical="center" wrapText="1"/>
    </xf>
    <xf numFmtId="0" fontId="74" fillId="0" borderId="24" xfId="1" applyFont="1" applyFill="1" applyBorder="1" applyAlignment="1">
      <alignment horizontal="center" vertical="center" wrapText="1"/>
    </xf>
    <xf numFmtId="0" fontId="33" fillId="0" borderId="129" xfId="42" applyFont="1" applyFill="1" applyBorder="1" applyAlignment="1">
      <alignment horizontal="center" vertical="center" wrapText="1"/>
    </xf>
    <xf numFmtId="0" fontId="33" fillId="0" borderId="41" xfId="42" applyFont="1" applyFill="1" applyBorder="1" applyAlignment="1">
      <alignment horizontal="center" vertical="center" wrapText="1"/>
    </xf>
    <xf numFmtId="0" fontId="75" fillId="0" borderId="2" xfId="0" applyFont="1" applyFill="1" applyBorder="1" applyAlignment="1">
      <alignment horizontal="center"/>
    </xf>
    <xf numFmtId="0" fontId="75" fillId="0" borderId="3" xfId="0" applyFont="1" applyFill="1" applyBorder="1" applyAlignment="1">
      <alignment horizontal="center"/>
    </xf>
    <xf numFmtId="0" fontId="75" fillId="0" borderId="4" xfId="0" applyFont="1" applyFill="1" applyBorder="1" applyAlignment="1">
      <alignment horizontal="center"/>
    </xf>
    <xf numFmtId="0" fontId="32" fillId="0" borderId="179" xfId="46" applyFont="1" applyFill="1" applyBorder="1" applyAlignment="1">
      <alignment horizontal="center" vertical="center" wrapText="1"/>
    </xf>
    <xf numFmtId="0" fontId="32" fillId="0" borderId="137" xfId="46" applyFont="1" applyFill="1" applyBorder="1" applyAlignment="1">
      <alignment horizontal="center" vertical="center" wrapText="1"/>
    </xf>
    <xf numFmtId="0" fontId="32" fillId="0" borderId="212" xfId="46" applyFont="1" applyFill="1" applyBorder="1" applyAlignment="1">
      <alignment horizontal="center" vertical="center" wrapText="1"/>
    </xf>
    <xf numFmtId="0" fontId="32" fillId="0" borderId="130" xfId="46" applyFont="1" applyFill="1" applyBorder="1" applyAlignment="1">
      <alignment horizontal="center" vertical="center" wrapText="1"/>
    </xf>
    <xf numFmtId="0" fontId="32" fillId="0" borderId="176" xfId="46" applyFont="1" applyFill="1" applyBorder="1" applyAlignment="1">
      <alignment horizontal="center" vertical="center" wrapText="1"/>
    </xf>
    <xf numFmtId="0" fontId="32" fillId="0" borderId="211" xfId="46" applyFont="1" applyFill="1" applyBorder="1" applyAlignment="1">
      <alignment horizontal="center" vertical="center" wrapText="1"/>
    </xf>
    <xf numFmtId="0" fontId="32" fillId="0" borderId="23" xfId="46" applyFont="1" applyFill="1" applyBorder="1" applyAlignment="1">
      <alignment horizontal="center" vertical="center" wrapText="1"/>
    </xf>
    <xf numFmtId="0" fontId="32" fillId="0" borderId="218" xfId="46" applyFont="1" applyFill="1" applyBorder="1" applyAlignment="1">
      <alignment horizontal="center" vertical="center" wrapText="1"/>
    </xf>
    <xf numFmtId="0" fontId="32" fillId="0" borderId="219" xfId="46" applyFont="1" applyFill="1" applyBorder="1" applyAlignment="1">
      <alignment horizontal="center" vertical="center" wrapText="1"/>
    </xf>
    <xf numFmtId="0" fontId="33" fillId="0" borderId="260" xfId="42" applyFont="1" applyFill="1" applyBorder="1" applyAlignment="1">
      <alignment horizontal="right" vertical="center" wrapText="1"/>
    </xf>
    <xf numFmtId="0" fontId="33" fillId="0" borderId="261" xfId="42" applyFont="1" applyFill="1" applyBorder="1" applyAlignment="1">
      <alignment horizontal="right" vertical="center" wrapText="1"/>
    </xf>
    <xf numFmtId="0" fontId="33" fillId="0" borderId="150" xfId="42" applyFont="1" applyFill="1" applyBorder="1" applyAlignment="1">
      <alignment horizontal="right" vertical="center" wrapText="1"/>
    </xf>
    <xf numFmtId="0" fontId="33" fillId="0" borderId="151" xfId="42" applyFont="1" applyFill="1" applyBorder="1" applyAlignment="1">
      <alignment horizontal="right" vertical="center" wrapText="1"/>
    </xf>
    <xf numFmtId="0" fontId="32" fillId="0" borderId="129" xfId="1" applyFont="1" applyFill="1" applyBorder="1" applyAlignment="1">
      <alignment horizontal="center" vertical="center" wrapText="1"/>
    </xf>
    <xf numFmtId="0" fontId="32" fillId="0" borderId="39" xfId="1" applyFont="1" applyFill="1" applyBorder="1" applyAlignment="1">
      <alignment horizontal="center" vertical="center" wrapText="1"/>
    </xf>
    <xf numFmtId="0" fontId="32" fillId="0" borderId="220" xfId="1" applyFont="1" applyFill="1" applyBorder="1" applyAlignment="1">
      <alignment horizontal="center" vertical="center" wrapText="1"/>
    </xf>
    <xf numFmtId="0" fontId="74" fillId="0" borderId="13" xfId="1" applyFont="1" applyFill="1" applyBorder="1" applyAlignment="1">
      <alignment horizontal="center" vertical="center" wrapText="1"/>
    </xf>
    <xf numFmtId="0" fontId="74" fillId="0" borderId="30" xfId="1" applyFont="1" applyFill="1" applyBorder="1" applyAlignment="1">
      <alignment horizontal="center" vertical="center" wrapText="1"/>
    </xf>
    <xf numFmtId="0" fontId="74" fillId="0" borderId="17" xfId="1" applyFont="1" applyFill="1" applyBorder="1" applyAlignment="1">
      <alignment horizontal="center" vertical="center" wrapText="1"/>
    </xf>
    <xf numFmtId="11" fontId="30" fillId="0" borderId="277" xfId="0" applyNumberFormat="1" applyFont="1" applyBorder="1" applyAlignment="1">
      <alignment horizontal="center"/>
    </xf>
    <xf numFmtId="11" fontId="30" fillId="0" borderId="182" xfId="0" applyNumberFormat="1" applyFont="1" applyBorder="1" applyAlignment="1">
      <alignment horizontal="center"/>
    </xf>
    <xf numFmtId="11" fontId="30" fillId="0" borderId="278" xfId="0" applyNumberFormat="1" applyFont="1" applyBorder="1" applyAlignment="1">
      <alignment horizontal="center"/>
    </xf>
    <xf numFmtId="0" fontId="74" fillId="0" borderId="29" xfId="46" applyFont="1" applyFill="1" applyBorder="1" applyAlignment="1">
      <alignment horizontal="center" vertical="center" wrapText="1"/>
    </xf>
    <xf numFmtId="0" fontId="74" fillId="0" borderId="32" xfId="46" applyFont="1" applyFill="1" applyBorder="1" applyAlignment="1">
      <alignment horizontal="center" vertical="center" wrapText="1"/>
    </xf>
    <xf numFmtId="0" fontId="74" fillId="0" borderId="33" xfId="46" applyFont="1" applyFill="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Fill="1" applyBorder="1" applyAlignment="1">
      <alignment horizontal="center" vertical="center" wrapText="1"/>
    </xf>
    <xf numFmtId="0" fontId="74" fillId="0" borderId="6" xfId="46" applyFont="1" applyFill="1" applyBorder="1" applyAlignment="1">
      <alignment horizontal="center" vertical="center" wrapText="1"/>
    </xf>
    <xf numFmtId="0" fontId="74" fillId="0" borderId="7" xfId="46" applyFont="1" applyFill="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Fill="1" applyBorder="1" applyAlignment="1">
      <alignment horizontal="center" vertical="center" wrapText="1"/>
    </xf>
    <xf numFmtId="0" fontId="74" fillId="0" borderId="31" xfId="46" applyFont="1" applyFill="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Fill="1" applyBorder="1" applyAlignment="1">
      <alignment horizontal="center" vertical="center" wrapText="1"/>
    </xf>
    <xf numFmtId="11" fontId="33" fillId="0" borderId="31" xfId="46" applyNumberFormat="1" applyFont="1" applyFill="1" applyBorder="1" applyAlignment="1">
      <alignment horizontal="center" vertical="center" wrapText="1"/>
    </xf>
    <xf numFmtId="0" fontId="74" fillId="0" borderId="179" xfId="46" applyFont="1" applyFill="1" applyBorder="1" applyAlignment="1">
      <alignment horizontal="center" vertical="center" wrapText="1"/>
    </xf>
    <xf numFmtId="0" fontId="74" fillId="0" borderId="137" xfId="46" applyFont="1" applyFill="1" applyBorder="1" applyAlignment="1">
      <alignment horizontal="center" vertical="center" wrapText="1"/>
    </xf>
    <xf numFmtId="0" fontId="74" fillId="0" borderId="138" xfId="46" applyFont="1" applyFill="1" applyBorder="1" applyAlignment="1">
      <alignment horizontal="center" vertical="center" wrapText="1"/>
    </xf>
    <xf numFmtId="0" fontId="74" fillId="0" borderId="14" xfId="46" applyFont="1" applyFill="1" applyBorder="1" applyAlignment="1">
      <alignment horizontal="center" vertical="center" wrapText="1"/>
    </xf>
    <xf numFmtId="0" fontId="74" fillId="0" borderId="24" xfId="46" applyFont="1" applyFill="1" applyBorder="1" applyAlignment="1">
      <alignment horizontal="center" vertical="center" wrapText="1"/>
    </xf>
    <xf numFmtId="0" fontId="32" fillId="0" borderId="199" xfId="46" applyFont="1" applyFill="1" applyBorder="1" applyAlignment="1">
      <alignment horizontal="center" vertical="center"/>
    </xf>
    <xf numFmtId="0" fontId="32" fillId="0" borderId="200" xfId="46" applyFont="1" applyFill="1" applyBorder="1" applyAlignment="1">
      <alignment horizontal="center" vertical="center"/>
    </xf>
    <xf numFmtId="0" fontId="74" fillId="0" borderId="235" xfId="46" applyFont="1" applyFill="1" applyBorder="1" applyAlignment="1">
      <alignment horizontal="center" vertical="center" wrapText="1"/>
    </xf>
    <xf numFmtId="0" fontId="74" fillId="0" borderId="104" xfId="46" applyFont="1" applyFill="1" applyBorder="1" applyAlignment="1">
      <alignment horizontal="center" vertical="center" wrapText="1"/>
    </xf>
    <xf numFmtId="0" fontId="74" fillId="0" borderId="236" xfId="46" applyFont="1" applyFill="1" applyBorder="1" applyAlignment="1">
      <alignment horizontal="center" vertical="center" wrapText="1"/>
    </xf>
    <xf numFmtId="11" fontId="33" fillId="0" borderId="29" xfId="46" applyNumberFormat="1" applyFont="1" applyFill="1" applyBorder="1" applyAlignment="1">
      <alignment horizontal="center" vertical="center" wrapText="1"/>
    </xf>
    <xf numFmtId="11" fontId="33" fillId="0" borderId="32" xfId="46" applyNumberFormat="1" applyFont="1" applyFill="1" applyBorder="1" applyAlignment="1">
      <alignment horizontal="center" vertical="center" wrapText="1"/>
    </xf>
    <xf numFmtId="0" fontId="88" fillId="0" borderId="82" xfId="46" applyFont="1" applyFill="1" applyBorder="1" applyAlignment="1">
      <alignment horizontal="center" vertical="center" wrapText="1"/>
    </xf>
    <xf numFmtId="0" fontId="88" fillId="0" borderId="12" xfId="46" applyFont="1" applyFill="1" applyBorder="1" applyAlignment="1">
      <alignment horizontal="center" vertical="center" wrapText="1"/>
    </xf>
    <xf numFmtId="0" fontId="88" fillId="0" borderId="226" xfId="46" applyFont="1" applyFill="1" applyBorder="1" applyAlignment="1">
      <alignment horizontal="center" vertical="center" wrapText="1"/>
    </xf>
    <xf numFmtId="0" fontId="32" fillId="0" borderId="34" xfId="46" applyFont="1" applyFill="1" applyBorder="1" applyAlignment="1">
      <alignment horizontal="center" vertical="center"/>
    </xf>
    <xf numFmtId="0" fontId="32" fillId="0" borderId="42" xfId="46" applyFont="1" applyFill="1" applyBorder="1" applyAlignment="1">
      <alignment horizontal="center" vertical="center"/>
    </xf>
    <xf numFmtId="0" fontId="32" fillId="0" borderId="20" xfId="46" applyFont="1" applyFill="1" applyBorder="1" applyAlignment="1">
      <alignment horizontal="center" vertical="center"/>
    </xf>
    <xf numFmtId="0" fontId="74" fillId="0" borderId="15" xfId="1" applyFont="1" applyFill="1" applyBorder="1" applyAlignment="1">
      <alignment horizontal="center" vertical="center" wrapText="1"/>
    </xf>
    <xf numFmtId="0" fontId="74" fillId="0" borderId="29" xfId="1" applyFont="1" applyFill="1" applyBorder="1" applyAlignment="1">
      <alignment horizontal="center" vertical="center" wrapText="1"/>
    </xf>
    <xf numFmtId="0" fontId="74" fillId="0" borderId="32" xfId="1" applyFont="1" applyFill="1" applyBorder="1" applyAlignment="1">
      <alignment horizontal="center" vertical="center" wrapText="1"/>
    </xf>
    <xf numFmtId="0" fontId="74" fillId="0" borderId="25" xfId="1" applyFont="1" applyFill="1" applyBorder="1" applyAlignment="1">
      <alignment horizontal="center" vertical="center" wrapText="1"/>
    </xf>
    <xf numFmtId="0" fontId="74" fillId="0" borderId="9" xfId="1" applyFont="1" applyFill="1" applyBorder="1" applyAlignment="1">
      <alignment horizontal="center" vertical="center" wrapText="1"/>
    </xf>
    <xf numFmtId="0" fontId="74" fillId="0" borderId="8" xfId="1" applyFont="1" applyFill="1" applyBorder="1" applyAlignment="1">
      <alignment horizontal="center" vertical="center" wrapText="1"/>
    </xf>
    <xf numFmtId="0" fontId="74" fillId="0" borderId="6" xfId="1" applyFont="1" applyFill="1" applyBorder="1" applyAlignment="1">
      <alignment horizontal="center" vertical="center" wrapText="1"/>
    </xf>
    <xf numFmtId="0" fontId="74" fillId="0" borderId="7" xfId="1" applyFont="1" applyFill="1" applyBorder="1" applyAlignment="1">
      <alignment horizontal="center" vertical="center" wrapText="1"/>
    </xf>
    <xf numFmtId="0" fontId="33" fillId="0" borderId="250" xfId="46" applyFont="1" applyFill="1" applyBorder="1" applyAlignment="1">
      <alignment horizontal="right" vertical="center" wrapText="1"/>
    </xf>
    <xf numFmtId="0" fontId="33" fillId="0" borderId="269" xfId="46" applyFont="1" applyFill="1" applyBorder="1" applyAlignment="1">
      <alignment horizontal="right" vertical="center" wrapText="1"/>
    </xf>
    <xf numFmtId="0" fontId="74" fillId="0" borderId="120" xfId="46" applyFont="1" applyFill="1" applyBorder="1" applyAlignment="1">
      <alignment horizontal="center" vertical="center" wrapText="1"/>
    </xf>
    <xf numFmtId="0" fontId="74" fillId="0" borderId="196" xfId="46" applyFont="1" applyFill="1" applyBorder="1" applyAlignment="1">
      <alignment horizontal="center" vertical="center" wrapText="1"/>
    </xf>
    <xf numFmtId="0" fontId="74" fillId="0" borderId="209" xfId="46" applyFont="1" applyFill="1" applyBorder="1" applyAlignment="1">
      <alignment horizontal="center" vertical="center" wrapText="1"/>
    </xf>
    <xf numFmtId="10" fontId="33" fillId="0" borderId="181" xfId="46" applyNumberFormat="1" applyFont="1" applyFill="1" applyBorder="1" applyAlignment="1">
      <alignment horizontal="center" vertical="center" wrapText="1"/>
    </xf>
    <xf numFmtId="10" fontId="33" fillId="0" borderId="132" xfId="46" applyNumberFormat="1" applyFont="1" applyFill="1" applyBorder="1" applyAlignment="1">
      <alignment horizontal="center" vertical="center" wrapText="1"/>
    </xf>
    <xf numFmtId="10" fontId="33" fillId="0" borderId="192" xfId="46" applyNumberFormat="1" applyFont="1" applyFill="1" applyBorder="1" applyAlignment="1">
      <alignment horizontal="center" vertical="center" wrapText="1"/>
    </xf>
    <xf numFmtId="0" fontId="74" fillId="0" borderId="275" xfId="1" applyFont="1" applyFill="1" applyBorder="1" applyAlignment="1">
      <alignment horizontal="center" vertical="center" wrapText="1"/>
    </xf>
    <xf numFmtId="0" fontId="32" fillId="0" borderId="116" xfId="46" applyFont="1" applyFill="1" applyBorder="1" applyAlignment="1">
      <alignment horizontal="center" vertical="center"/>
    </xf>
    <xf numFmtId="0" fontId="85" fillId="0" borderId="175" xfId="46" applyFont="1" applyFill="1" applyBorder="1" applyAlignment="1">
      <alignment horizontal="center" vertical="center" wrapText="1"/>
    </xf>
    <xf numFmtId="0" fontId="85" fillId="0" borderId="176" xfId="46" applyFont="1" applyFill="1" applyBorder="1" applyAlignment="1">
      <alignment horizontal="center" vertical="center" wrapText="1"/>
    </xf>
    <xf numFmtId="0" fontId="85" fillId="0" borderId="177" xfId="46" applyFont="1" applyFill="1" applyBorder="1" applyAlignment="1">
      <alignment horizontal="center" vertical="center" wrapText="1"/>
    </xf>
    <xf numFmtId="0" fontId="74" fillId="0" borderId="5" xfId="1" applyFont="1" applyFill="1" applyBorder="1" applyAlignment="1">
      <alignment horizontal="center" vertical="center" wrapText="1"/>
    </xf>
    <xf numFmtId="11" fontId="33" fillId="0" borderId="181" xfId="42" applyNumberFormat="1" applyFont="1" applyFill="1" applyBorder="1" applyAlignment="1">
      <alignment horizontal="center" vertical="center"/>
    </xf>
    <xf numFmtId="11" fontId="33" fillId="0" borderId="132" xfId="42" applyNumberFormat="1" applyFont="1" applyFill="1" applyBorder="1" applyAlignment="1">
      <alignment horizontal="center" vertical="center"/>
    </xf>
    <xf numFmtId="11" fontId="33" fillId="0" borderId="128" xfId="42" applyNumberFormat="1" applyFont="1" applyFill="1" applyBorder="1" applyAlignment="1">
      <alignment horizontal="center" vertical="center"/>
    </xf>
    <xf numFmtId="0" fontId="32" fillId="0" borderId="37" xfId="1" applyFont="1" applyFill="1" applyBorder="1" applyAlignment="1">
      <alignment horizontal="center" vertical="center" wrapText="1"/>
    </xf>
    <xf numFmtId="0" fontId="32" fillId="0" borderId="40" xfId="1" applyFont="1" applyFill="1" applyBorder="1" applyAlignment="1">
      <alignment horizontal="center" vertical="center" wrapText="1"/>
    </xf>
    <xf numFmtId="0" fontId="32" fillId="0" borderId="210" xfId="1" applyFont="1" applyFill="1" applyBorder="1" applyAlignment="1">
      <alignment horizontal="center" vertical="center" wrapText="1"/>
    </xf>
    <xf numFmtId="11" fontId="33" fillId="0" borderId="44" xfId="42" applyNumberFormat="1" applyFont="1" applyFill="1" applyBorder="1" applyAlignment="1">
      <alignment horizontal="center" vertical="center" wrapText="1"/>
    </xf>
    <xf numFmtId="11" fontId="33" fillId="0" borderId="131" xfId="42" applyNumberFormat="1" applyFont="1" applyFill="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Fill="1" applyBorder="1" applyAlignment="1" applyProtection="1">
      <alignment vertical="center"/>
    </xf>
    <xf numFmtId="0" fontId="98" fillId="0" borderId="248" xfId="46" applyFont="1" applyFill="1" applyBorder="1" applyAlignment="1" applyProtection="1">
      <alignment vertical="center"/>
    </xf>
    <xf numFmtId="183" fontId="33" fillId="0" borderId="248" xfId="46" applyNumberFormat="1" applyFont="1" applyFill="1" applyBorder="1" applyAlignment="1" applyProtection="1">
      <alignment horizontal="left" vertical="center"/>
    </xf>
    <xf numFmtId="183" fontId="33" fillId="0" borderId="249" xfId="46" applyNumberFormat="1" applyFont="1" applyFill="1" applyBorder="1" applyAlignment="1" applyProtection="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184" fontId="33" fillId="0" borderId="248" xfId="46" applyNumberFormat="1" applyFont="1" applyFill="1" applyBorder="1" applyAlignment="1" applyProtection="1">
      <alignment horizontal="left" vertical="center"/>
    </xf>
    <xf numFmtId="184" fontId="33" fillId="0" borderId="249" xfId="46" applyNumberFormat="1" applyFont="1" applyFill="1" applyBorder="1" applyAlignment="1" applyProtection="1">
      <alignment horizontal="left" vertical="center"/>
    </xf>
    <xf numFmtId="0" fontId="98" fillId="0" borderId="60" xfId="46" applyFont="1" applyFill="1" applyBorder="1" applyAlignment="1" applyProtection="1">
      <alignment vertical="center"/>
    </xf>
    <xf numFmtId="0" fontId="98" fillId="0" borderId="230" xfId="46" applyFont="1" applyFill="1" applyBorder="1" applyAlignment="1" applyProtection="1">
      <alignment vertical="center"/>
    </xf>
    <xf numFmtId="22" fontId="33" fillId="0" borderId="231" xfId="46" applyNumberFormat="1" applyFont="1" applyFill="1" applyBorder="1" applyAlignment="1" applyProtection="1">
      <alignment horizontal="left" vertical="center"/>
    </xf>
    <xf numFmtId="0" fontId="33" fillId="0" borderId="3" xfId="46" applyNumberFormat="1" applyFont="1" applyFill="1" applyBorder="1" applyAlignment="1" applyProtection="1">
      <alignment horizontal="left" vertical="center"/>
    </xf>
    <xf numFmtId="0" fontId="33" fillId="0" borderId="4" xfId="46" applyNumberFormat="1" applyFont="1" applyFill="1" applyBorder="1" applyAlignment="1" applyProtection="1">
      <alignment horizontal="left" vertical="center"/>
    </xf>
    <xf numFmtId="0" fontId="98" fillId="0" borderId="160" xfId="46" applyFont="1" applyFill="1" applyBorder="1" applyAlignment="1" applyProtection="1">
      <alignment vertical="center"/>
    </xf>
    <xf numFmtId="0" fontId="98" fillId="0" borderId="232" xfId="46" applyFont="1" applyFill="1" applyBorder="1" applyAlignment="1" applyProtection="1">
      <alignment vertical="center"/>
    </xf>
    <xf numFmtId="0" fontId="33" fillId="0" borderId="233" xfId="46" applyNumberFormat="1" applyFont="1" applyFill="1" applyBorder="1" applyAlignment="1" applyProtection="1">
      <alignment horizontal="left" vertical="center"/>
    </xf>
    <xf numFmtId="0" fontId="33" fillId="0" borderId="182" xfId="46" applyNumberFormat="1" applyFont="1" applyFill="1" applyBorder="1" applyAlignment="1" applyProtection="1">
      <alignment horizontal="left" vertical="center"/>
    </xf>
    <xf numFmtId="0" fontId="33" fillId="0" borderId="183" xfId="46" applyNumberFormat="1" applyFont="1" applyFill="1" applyBorder="1" applyAlignment="1" applyProtection="1">
      <alignment horizontal="left" vertical="center"/>
    </xf>
    <xf numFmtId="0" fontId="98" fillId="0" borderId="241" xfId="46" applyFont="1" applyFill="1" applyBorder="1" applyAlignment="1" applyProtection="1">
      <alignment vertical="center"/>
    </xf>
    <xf numFmtId="0" fontId="98" fillId="0" borderId="242" xfId="46" applyFont="1" applyFill="1" applyBorder="1" applyAlignment="1" applyProtection="1">
      <alignment vertical="center"/>
    </xf>
    <xf numFmtId="0" fontId="33" fillId="0" borderId="242" xfId="46" applyNumberFormat="1" applyFont="1" applyFill="1" applyBorder="1" applyAlignment="1" applyProtection="1">
      <alignment horizontal="left" vertical="center"/>
    </xf>
    <xf numFmtId="0" fontId="33" fillId="0" borderId="243" xfId="46" applyNumberFormat="1" applyFont="1" applyFill="1" applyBorder="1" applyAlignment="1" applyProtection="1">
      <alignment horizontal="left" vertical="center"/>
    </xf>
    <xf numFmtId="0" fontId="98" fillId="0" borderId="244" xfId="46" applyFont="1" applyFill="1" applyBorder="1" applyAlignment="1" applyProtection="1">
      <alignment vertical="center"/>
    </xf>
    <xf numFmtId="0" fontId="98" fillId="0" borderId="245" xfId="46" applyFont="1" applyFill="1" applyBorder="1" applyAlignment="1" applyProtection="1">
      <alignment vertical="center"/>
    </xf>
    <xf numFmtId="0" fontId="33" fillId="0" borderId="245" xfId="46" applyFont="1" applyFill="1" applyBorder="1" applyAlignment="1" applyProtection="1">
      <alignment horizontal="left" vertical="center"/>
    </xf>
    <xf numFmtId="0" fontId="33" fillId="0" borderId="246" xfId="46" applyFont="1" applyFill="1" applyBorder="1" applyAlignment="1" applyProtection="1">
      <alignment horizontal="left" vertical="center"/>
    </xf>
    <xf numFmtId="0" fontId="33" fillId="0" borderId="242" xfId="46" applyFont="1" applyFill="1" applyBorder="1" applyAlignment="1" applyProtection="1">
      <alignment horizontal="left" vertical="center"/>
    </xf>
    <xf numFmtId="0" fontId="33" fillId="0" borderId="243" xfId="46" applyFont="1" applyFill="1" applyBorder="1" applyAlignment="1" applyProtection="1">
      <alignment horizontal="left" vertical="center"/>
    </xf>
    <xf numFmtId="0" fontId="30" fillId="0" borderId="109" xfId="5894" applyFont="1" applyFill="1" applyBorder="1" applyAlignment="1" applyProtection="1">
      <alignment horizontal="center" vertical="center" wrapText="1"/>
      <protection locked="0"/>
    </xf>
    <xf numFmtId="0" fontId="29" fillId="0" borderId="157" xfId="5890" applyFont="1" applyFill="1" applyBorder="1" applyAlignment="1" applyProtection="1">
      <alignment horizontal="left" vertical="center"/>
      <protection locked="0"/>
    </xf>
    <xf numFmtId="0" fontId="29" fillId="0" borderId="76" xfId="5890" applyFont="1" applyFill="1" applyBorder="1" applyAlignment="1" applyProtection="1">
      <alignment horizontal="left" vertical="center"/>
      <protection locked="0"/>
    </xf>
    <xf numFmtId="0" fontId="30" fillId="0" borderId="152" xfId="5890" applyFont="1" applyFill="1" applyBorder="1" applyAlignment="1" applyProtection="1">
      <alignment horizontal="center" vertical="center"/>
      <protection hidden="1"/>
    </xf>
    <xf numFmtId="0" fontId="30" fillId="0" borderId="193" xfId="5890" applyFont="1" applyFill="1" applyBorder="1" applyAlignment="1" applyProtection="1">
      <alignment horizontal="center" vertical="center"/>
      <protection hidden="1"/>
    </xf>
    <xf numFmtId="0" fontId="30" fillId="0" borderId="153" xfId="5890" applyFont="1" applyFill="1" applyBorder="1" applyAlignment="1" applyProtection="1">
      <alignment horizontal="center" vertical="center"/>
      <protection hidden="1"/>
    </xf>
    <xf numFmtId="0" fontId="30" fillId="0" borderId="95" xfId="5890" applyFont="1" applyFill="1" applyBorder="1" applyAlignment="1" applyProtection="1">
      <alignment horizontal="center" vertical="center"/>
      <protection hidden="1"/>
    </xf>
    <xf numFmtId="0" fontId="30" fillId="0" borderId="19" xfId="5890" applyFont="1" applyFill="1" applyBorder="1" applyAlignment="1" applyProtection="1">
      <alignment horizontal="center" vertical="center"/>
      <protection hidden="1"/>
    </xf>
    <xf numFmtId="0" fontId="30" fillId="0" borderId="93" xfId="5890" applyFont="1" applyFill="1" applyBorder="1" applyAlignment="1" applyProtection="1">
      <alignment horizontal="center" vertical="center"/>
      <protection hidden="1"/>
    </xf>
    <xf numFmtId="0" fontId="30" fillId="0" borderId="110" xfId="5890" applyFont="1" applyFill="1" applyBorder="1" applyAlignment="1" applyProtection="1">
      <alignment horizontal="center"/>
      <protection hidden="1"/>
    </xf>
    <xf numFmtId="0" fontId="30" fillId="0" borderId="89" xfId="5890" applyFont="1" applyFill="1" applyBorder="1" applyAlignment="1" applyProtection="1">
      <alignment horizontal="center"/>
      <protection hidden="1"/>
    </xf>
    <xf numFmtId="0" fontId="30" fillId="0" borderId="170" xfId="5890" applyFont="1" applyFill="1" applyBorder="1" applyAlignment="1" applyProtection="1">
      <alignment horizontal="center"/>
      <protection hidden="1"/>
    </xf>
    <xf numFmtId="0" fontId="30" fillId="0" borderId="108" xfId="5890" applyFont="1" applyFill="1" applyBorder="1" applyAlignment="1" applyProtection="1">
      <alignment horizontal="center"/>
      <protection hidden="1"/>
    </xf>
    <xf numFmtId="0" fontId="30" fillId="0" borderId="149" xfId="5890" applyFont="1" applyFill="1" applyBorder="1" applyAlignment="1" applyProtection="1">
      <alignment horizontal="center"/>
      <protection hidden="1"/>
    </xf>
    <xf numFmtId="0" fontId="30" fillId="0" borderId="148" xfId="5890" applyFont="1" applyFill="1" applyBorder="1" applyAlignment="1" applyProtection="1">
      <alignment horizontal="center"/>
      <protection hidden="1"/>
    </xf>
    <xf numFmtId="0" fontId="30" fillId="0" borderId="11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10" fontId="30" fillId="0" borderId="110" xfId="5890" applyNumberFormat="1" applyFont="1" applyFill="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660033"/>
      <color rgb="FF0000FF"/>
      <color rgb="FFFF9999"/>
      <color rgb="FFCCCCFF"/>
      <color rgb="FF9966FF"/>
      <color rgb="FFFFCCFF"/>
      <color rgb="FFFF99FF"/>
      <color rgb="FF00FFFF"/>
      <color rgb="FFFF0000"/>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9374637079820831"/>
          <c:y val="0.27855463892315141"/>
          <c:w val="0.6061105270744368"/>
          <c:h val="0.63843949389191168"/>
        </c:manualLayout>
      </c:layout>
      <c:barChart>
        <c:barDir val="col"/>
        <c:grouping val="clustered"/>
        <c:varyColors val="0"/>
        <c:ser>
          <c:idx val="2"/>
          <c:order val="0"/>
          <c:tx>
            <c:strRef>
              <c:f>data!$TL$28</c:f>
              <c:strCache>
                <c:ptCount val="1"/>
                <c:pt idx="0">
                  <c:v>SIMD instruction ratio(/Effective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0</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0</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r"/>
      <c:layout>
        <c:manualLayout>
          <c:xMode val="edge"/>
          <c:yMode val="edge"/>
          <c:x val="4.0903052738001162E-2"/>
          <c:y val="0.10609221224799091"/>
          <c:w val="0.91991580471120016"/>
          <c:h val="0.14965485732165529"/>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0</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0</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0</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 (/Load-store instructions)</a:t>
            </a:r>
            <a:endParaRPr lang="ja-JP" altLang="en-US" sz="1200"/>
          </a:p>
        </c:rich>
      </c:tx>
      <c:overlay val="0"/>
    </c:title>
    <c:autoTitleDeleted val="0"/>
    <c:plotArea>
      <c:layout>
        <c:manualLayout>
          <c:layoutTarget val="inner"/>
          <c:xMode val="edge"/>
          <c:yMode val="edge"/>
          <c:x val="0.2263994279344767"/>
          <c:y val="0.29530463237549853"/>
          <c:w val="0.58093905033469262"/>
          <c:h val="0.61139053072911342"/>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0</c:v>
                </c:pt>
                <c:pt idx="1">
                  <c:v>0</c:v>
                </c:pt>
              </c:numCache>
            </c:numRef>
          </c:val>
          <c:extLst>
            <c:ext xmlns:c16="http://schemas.microsoft.com/office/drawing/2014/chart" uri="{C3380CC4-5D6E-409C-BE32-E72D297353CC}">
              <c16:uniqueId val="{00000000-5DA9-4570-835C-531A82680B5F}"/>
            </c:ext>
          </c:extLst>
        </c:ser>
        <c:ser>
          <c:idx val="1"/>
          <c:order val="1"/>
          <c:tx>
            <c:strRef>
              <c:f>data!$VS$28</c:f>
              <c:strCache>
                <c:ptCount val="1"/>
                <c:pt idx="0">
                  <c:v>hardware prefetch rate (L1D,L2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c:v>
                </c:pt>
                <c:pt idx="1">
                  <c:v>0</c:v>
                </c:pt>
              </c:numCache>
            </c:numRef>
          </c:val>
          <c:extLst>
            <c:ext xmlns:c16="http://schemas.microsoft.com/office/drawing/2014/chart" uri="{C3380CC4-5D6E-409C-BE32-E72D297353CC}">
              <c16:uniqueId val="{00000001-5DA9-4570-835C-531A82680B5F}"/>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0</c:v>
                </c:pt>
                <c:pt idx="1">
                  <c:v>0</c:v>
                </c:pt>
              </c:numCache>
            </c:numRef>
          </c:val>
          <c:extLst>
            <c:ext xmlns:c16="http://schemas.microsoft.com/office/drawing/2014/chart" uri="{C3380CC4-5D6E-409C-BE32-E72D297353CC}">
              <c16:uniqueId val="{00000002-5DA9-4570-835C-531A82680B5F}"/>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r"/>
      <c:layout>
        <c:manualLayout>
          <c:xMode val="edge"/>
          <c:yMode val="edge"/>
          <c:x val="2.2644831098301513E-2"/>
          <c:y val="0.10990557998432014"/>
          <c:w val="0.9596419960484549"/>
          <c:h val="0.1508031496062992"/>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0"/>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387-4AF7-8912-D067B3B1EED6}"/>
            </c:ext>
          </c:extLst>
        </c:ser>
        <c:ser>
          <c:idx val="24"/>
          <c:order val="1"/>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3387-4AF7-8912-D067B3B1EED6}"/>
            </c:ext>
          </c:extLst>
        </c:ser>
        <c:ser>
          <c:idx val="1"/>
          <c:order val="2"/>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Ref>
          </c:cat>
          <c:val>
            <c:numRef>
              <c:f>data!$UG$42:$UG$54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3387-4AF7-8912-D067B3B1EED6}"/>
            </c:ext>
          </c:extLst>
        </c:ser>
        <c:ser>
          <c:idx val="2"/>
          <c:order val="3"/>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3387-4AF7-8912-D067B3B1EED6}"/>
            </c:ext>
          </c:extLst>
        </c:ser>
        <c:ser>
          <c:idx val="4"/>
          <c:order val="4"/>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Ref>
          </c:cat>
          <c:val>
            <c:numRef>
              <c:f>data!$UI$42:$UI$54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3387-4AF7-8912-D067B3B1EED6}"/>
            </c:ext>
          </c:extLst>
        </c:ser>
        <c:ser>
          <c:idx val="5"/>
          <c:order val="5"/>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Ref>
          </c:cat>
          <c:val>
            <c:numRef>
              <c:f>data!$UJ$42:$UJ$54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3387-4AF7-8912-D067B3B1EED6}"/>
            </c:ext>
          </c:extLst>
        </c:ser>
        <c:ser>
          <c:idx val="6"/>
          <c:order val="6"/>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Ref>
          </c:cat>
          <c:val>
            <c:numRef>
              <c:f>data!$UK$42:$UK$54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3387-4AF7-8912-D067B3B1EED6}"/>
            </c:ext>
          </c:extLst>
        </c:ser>
        <c:ser>
          <c:idx val="7"/>
          <c:order val="7"/>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Ref>
          </c:cat>
          <c:val>
            <c:numRef>
              <c:f>data!$UL$42:$UL$54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7-3387-4AF7-8912-D067B3B1EED6}"/>
            </c:ext>
          </c:extLst>
        </c:ser>
        <c:ser>
          <c:idx val="10"/>
          <c:order val="8"/>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Ref>
          </c:cat>
          <c:val>
            <c:numRef>
              <c:f>data!$UM$42:$UM$54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8-3387-4AF7-8912-D067B3B1EED6}"/>
            </c:ext>
          </c:extLst>
        </c:ser>
        <c:ser>
          <c:idx val="11"/>
          <c:order val="9"/>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Ref>
          </c:cat>
          <c:val>
            <c:numRef>
              <c:f>data!$UN$42:$UN$54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9-3387-4AF7-8912-D067B3B1EED6}"/>
            </c:ext>
          </c:extLst>
        </c:ser>
        <c:ser>
          <c:idx val="3"/>
          <c:order val="10"/>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Ref>
          </c:cat>
          <c:val>
            <c:numRef>
              <c:f>data!$UO$42:$UO$54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A-3387-4AF7-8912-D067B3B1EED6}"/>
            </c:ext>
          </c:extLst>
        </c:ser>
        <c:ser>
          <c:idx val="8"/>
          <c:order val="11"/>
          <c:tx>
            <c:strRef>
              <c:f>data!$UP$38</c:f>
              <c:strCache>
                <c:ptCount val="1"/>
                <c:pt idx="0">
                  <c:v>Other wait</c:v>
                </c:pt>
              </c:strCache>
            </c:strRef>
          </c:tx>
          <c:spPr>
            <a:solidFill>
              <a:srgbClr val="FF9900"/>
            </a:solidFill>
            <a:ln>
              <a:solidFill>
                <a:schemeClr val="tx1"/>
              </a:solidFill>
            </a:ln>
          </c:spPr>
          <c:invertIfNegative val="0"/>
          <c:cat>
            <c:multiLvlStrRef>
              <c:f>data!$UC$42:$UD$54</c:f>
            </c:multiLvlStrRef>
          </c:cat>
          <c:val>
            <c:numRef>
              <c:f>data!$UP$42:$UP$54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B-3387-4AF7-8912-D067B3B1EED6}"/>
            </c:ext>
          </c:extLst>
        </c:ser>
        <c:ser>
          <c:idx val="9"/>
          <c:order val="12"/>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3387-4AF7-8912-D067B3B1EED6}"/>
            </c:ext>
          </c:extLst>
        </c:ser>
        <c:ser>
          <c:idx val="12"/>
          <c:order val="13"/>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Ref>
          </c:cat>
          <c:val>
            <c:numRef>
              <c:f>data!$UR$42:$UR$54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D-3387-4AF7-8912-D067B3B1EED6}"/>
            </c:ext>
          </c:extLst>
        </c:ser>
        <c:ser>
          <c:idx val="13"/>
          <c:order val="14"/>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3387-4AF7-8912-D067B3B1EED6}"/>
            </c:ext>
          </c:extLst>
        </c:ser>
        <c:ser>
          <c:idx val="15"/>
          <c:order val="15"/>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Ref>
          </c:cat>
          <c:val>
            <c:numRef>
              <c:f>data!$UT$42:$UT$54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F-3387-4AF7-8912-D067B3B1EED6}"/>
            </c:ext>
          </c:extLst>
        </c:ser>
        <c:ser>
          <c:idx val="16"/>
          <c:order val="16"/>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Ref>
          </c:cat>
          <c:val>
            <c:numRef>
              <c:f>data!$UU$42:$UU$54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0-3387-4AF7-8912-D067B3B1EED6}"/>
            </c:ext>
          </c:extLst>
        </c:ser>
        <c:ser>
          <c:idx val="17"/>
          <c:order val="17"/>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Ref>
          </c:cat>
          <c:val>
            <c:numRef>
              <c:f>data!$UV$42:$UV$54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1-3387-4AF7-8912-D067B3B1EED6}"/>
            </c:ext>
          </c:extLst>
        </c:ser>
        <c:ser>
          <c:idx val="18"/>
          <c:order val="18"/>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Ref>
          </c:cat>
          <c:val>
            <c:numRef>
              <c:f>data!$UW$42:$UW$54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2-3387-4AF7-8912-D067B3B1EED6}"/>
            </c:ext>
          </c:extLst>
        </c:ser>
        <c:ser>
          <c:idx val="14"/>
          <c:order val="19"/>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Ref>
          </c:cat>
          <c:val>
            <c:numRef>
              <c:f>data!$UX$42:$UX$54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3-3387-4AF7-8912-D067B3B1EED6}"/>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19"/>
          <c:order val="20"/>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0</c:v>
                </c:pt>
              </c:numCache>
            </c:numRef>
          </c:val>
          <c:extLst>
            <c:ext xmlns:c16="http://schemas.microsoft.com/office/drawing/2014/chart" uri="{C3380CC4-5D6E-409C-BE32-E72D297353CC}">
              <c16:uniqueId val="{00000014-3387-4AF7-8912-D067B3B1EED6}"/>
            </c:ext>
          </c:extLst>
        </c:ser>
        <c:ser>
          <c:idx val="20"/>
          <c:order val="21"/>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c:v>
                </c:pt>
              </c:numCache>
            </c:numRef>
          </c:val>
          <c:extLst>
            <c:ext xmlns:c16="http://schemas.microsoft.com/office/drawing/2014/chart" uri="{C3380CC4-5D6E-409C-BE32-E72D297353CC}">
              <c16:uniqueId val="{00000015-3387-4AF7-8912-D067B3B1EED6}"/>
            </c:ext>
          </c:extLst>
        </c:ser>
        <c:ser>
          <c:idx val="21"/>
          <c:order val="22"/>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0</c:v>
                </c:pt>
              </c:numCache>
            </c:numRef>
          </c:val>
          <c:extLst>
            <c:ext xmlns:c16="http://schemas.microsoft.com/office/drawing/2014/chart" uri="{C3380CC4-5D6E-409C-BE32-E72D297353CC}">
              <c16:uniqueId val="{00000016-3387-4AF7-8912-D067B3B1EED6}"/>
            </c:ext>
          </c:extLst>
        </c:ser>
        <c:ser>
          <c:idx val="22"/>
          <c:order val="23"/>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0</c:v>
                </c:pt>
              </c:numCache>
            </c:numRef>
          </c:val>
          <c:extLst>
            <c:ext xmlns:c16="http://schemas.microsoft.com/office/drawing/2014/chart" uri="{C3380CC4-5D6E-409C-BE32-E72D297353CC}">
              <c16:uniqueId val="{00000017-3387-4AF7-8912-D067B3B1EED6}"/>
            </c:ext>
          </c:extLst>
        </c:ser>
        <c:ser>
          <c:idx val="23"/>
          <c:order val="24"/>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0</c:v>
                </c:pt>
              </c:numCache>
            </c:numRef>
          </c:val>
          <c:extLst>
            <c:ext xmlns:c16="http://schemas.microsoft.com/office/drawing/2014/chart" uri="{C3380CC4-5D6E-409C-BE32-E72D297353CC}">
              <c16:uniqueId val="{00000018-3387-4AF7-8912-D067B3B1EED6}"/>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0.00E+00"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7403739453348622"/>
          <c:h val="0.92201335350597713"/>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5"/>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Ref>
          </c:cat>
          <c:val>
            <c:numRef>
              <c:f>data!$TS$42:$TS$54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10D-44B4-A13F-DFC8F76B6064}"/>
            </c:ext>
          </c:extLst>
        </c:ser>
        <c:ser>
          <c:idx val="6"/>
          <c:order val="6"/>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Ref>
          </c:cat>
          <c:val>
            <c:numRef>
              <c:f>data!$TT$42:$TT$54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10D-44B4-A13F-DFC8F76B6064}"/>
            </c:ext>
          </c:extLst>
        </c:ser>
        <c:ser>
          <c:idx val="8"/>
          <c:order val="7"/>
          <c:tx>
            <c:strRef>
              <c:f>data!$TU$38</c:f>
              <c:strCache>
                <c:ptCount val="1"/>
                <c:pt idx="0">
                  <c:v>Operation wait</c:v>
                </c:pt>
              </c:strCache>
            </c:strRef>
          </c:tx>
          <c:spPr>
            <a:solidFill>
              <a:srgbClr val="CCCCFF"/>
            </a:solidFill>
            <a:ln>
              <a:solidFill>
                <a:schemeClr val="tx1"/>
              </a:solidFill>
            </a:ln>
          </c:spPr>
          <c:invertIfNegative val="0"/>
          <c:cat>
            <c:multiLvlStrRef>
              <c:f>data!$TQ$42:$TR$54</c:f>
            </c:multiLvlStrRef>
          </c:cat>
          <c:val>
            <c:numRef>
              <c:f>data!$TU$42:$TU$54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B10D-44B4-A13F-DFC8F76B6064}"/>
            </c:ext>
          </c:extLst>
        </c:ser>
        <c:ser>
          <c:idx val="9"/>
          <c:order val="8"/>
          <c:tx>
            <c:strRef>
              <c:f>data!$TV$38</c:f>
              <c:strCache>
                <c:ptCount val="1"/>
                <c:pt idx="0">
                  <c:v>Other wait</c:v>
                </c:pt>
              </c:strCache>
            </c:strRef>
          </c:tx>
          <c:spPr>
            <a:solidFill>
              <a:srgbClr val="FF9900"/>
            </a:solidFill>
            <a:ln>
              <a:solidFill>
                <a:schemeClr val="tx1"/>
              </a:solidFill>
            </a:ln>
          </c:spPr>
          <c:invertIfNegative val="0"/>
          <c:cat>
            <c:multiLvlStrRef>
              <c:f>data!$TQ$42:$TR$54</c:f>
            </c:multiLvlStrRef>
          </c:cat>
          <c:val>
            <c:numRef>
              <c:f>data!$TV$42:$TV$54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B10D-44B4-A13F-DFC8F76B6064}"/>
            </c:ext>
          </c:extLst>
        </c:ser>
        <c:ser>
          <c:idx val="13"/>
          <c:order val="9"/>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B10D-44B4-A13F-DFC8F76B6064}"/>
            </c:ext>
          </c:extLst>
        </c:ser>
        <c:ser>
          <c:idx val="7"/>
          <c:order val="10"/>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Ref>
          </c:cat>
          <c:val>
            <c:numRef>
              <c:f>data!$TX$42:$TX$54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B10D-44B4-A13F-DFC8F76B6064}"/>
            </c:ext>
          </c:extLst>
        </c:ser>
        <c:ser>
          <c:idx val="10"/>
          <c:order val="11"/>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B10D-44B4-A13F-DFC8F76B6064}"/>
            </c:ext>
          </c:extLst>
        </c:ser>
        <c:ser>
          <c:idx val="12"/>
          <c:order val="12"/>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Ref>
          </c:cat>
          <c:val>
            <c:numRef>
              <c:f>data!$TZ$42:$TZ$54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7-B10D-44B4-A13F-DFC8F76B6064}"/>
            </c:ext>
          </c:extLst>
        </c:ser>
        <c:ser>
          <c:idx val="11"/>
          <c:order val="13"/>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Ref>
          </c:cat>
          <c:val>
            <c:numRef>
              <c:f>data!$UA$42:$UA$54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8-B10D-44B4-A13F-DFC8F76B6064}"/>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0"/>
          <c:order val="0"/>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Ref>
          </c:cat>
          <c:val>
            <c:numRef>
              <c:f>data!$TR$31:$TR$35</c:f>
              <c:numCache>
                <c:formatCode>General</c:formatCode>
                <c:ptCount val="5"/>
                <c:pt idx="0" formatCode="0.00E+00">
                  <c:v>0</c:v>
                </c:pt>
              </c:numCache>
            </c:numRef>
          </c:val>
          <c:extLst>
            <c:ext xmlns:c16="http://schemas.microsoft.com/office/drawing/2014/chart" uri="{C3380CC4-5D6E-409C-BE32-E72D297353CC}">
              <c16:uniqueId val="{00000009-B10D-44B4-A13F-DFC8F76B6064}"/>
            </c:ext>
          </c:extLst>
        </c:ser>
        <c:ser>
          <c:idx val="1"/>
          <c:order val="1"/>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A-B10D-44B4-A13F-DFC8F76B6064}"/>
            </c:ext>
          </c:extLst>
        </c:ser>
        <c:ser>
          <c:idx val="2"/>
          <c:order val="2"/>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Ref>
          </c:cat>
          <c:val>
            <c:numRef>
              <c:f>data!$TT$31:$TT$35</c:f>
              <c:numCache>
                <c:formatCode>General</c:formatCode>
                <c:ptCount val="5"/>
                <c:pt idx="0" formatCode="0.00E+00">
                  <c:v>0</c:v>
                </c:pt>
              </c:numCache>
            </c:numRef>
          </c:val>
          <c:extLst>
            <c:ext xmlns:c16="http://schemas.microsoft.com/office/drawing/2014/chart" uri="{C3380CC4-5D6E-409C-BE32-E72D297353CC}">
              <c16:uniqueId val="{0000000B-B10D-44B4-A13F-DFC8F76B6064}"/>
            </c:ext>
          </c:extLst>
        </c:ser>
        <c:ser>
          <c:idx val="3"/>
          <c:order val="3"/>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Ref>
          </c:cat>
          <c:val>
            <c:numRef>
              <c:f>data!$TU$31:$TU$35</c:f>
              <c:numCache>
                <c:formatCode>General</c:formatCode>
                <c:ptCount val="5"/>
                <c:pt idx="0" formatCode="0.00E+00">
                  <c:v>0</c:v>
                </c:pt>
              </c:numCache>
            </c:numRef>
          </c:val>
          <c:extLst>
            <c:ext xmlns:c16="http://schemas.microsoft.com/office/drawing/2014/chart" uri="{C3380CC4-5D6E-409C-BE32-E72D297353CC}">
              <c16:uniqueId val="{0000000C-B10D-44B4-A13F-DFC8F76B6064}"/>
            </c:ext>
          </c:extLst>
        </c:ser>
        <c:ser>
          <c:idx val="4"/>
          <c:order val="4"/>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Ref>
          </c:cat>
          <c:val>
            <c:numRef>
              <c:f>data!$TV$31:$TV$35</c:f>
              <c:numCache>
                <c:formatCode>General</c:formatCode>
                <c:ptCount val="5"/>
                <c:pt idx="0" formatCode="0.00E+00">
                  <c:v>0</c:v>
                </c:pt>
              </c:numCache>
            </c:numRef>
          </c:val>
          <c:extLst>
            <c:ext xmlns:c16="http://schemas.microsoft.com/office/drawing/2014/chart" uri="{C3380CC4-5D6E-409C-BE32-E72D297353CC}">
              <c16:uniqueId val="{0000000D-B10D-44B4-A13F-DFC8F76B6064}"/>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0.00E+00"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6861667853571467"/>
          <c:h val="0.7979128091314934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 (/Load-store instructions)</a:t>
            </a:r>
            <a:endParaRPr lang="ja-JP" altLang="en-US" sz="1200"/>
          </a:p>
        </c:rich>
      </c:tx>
      <c:overlay val="0"/>
    </c:title>
    <c:autoTitleDeleted val="0"/>
    <c:plotArea>
      <c:layout>
        <c:manualLayout>
          <c:layoutTarget val="inner"/>
          <c:xMode val="edge"/>
          <c:yMode val="edge"/>
          <c:x val="0.23332668828143061"/>
          <c:y val="0.29607485427957869"/>
          <c:w val="0.64752687882727467"/>
          <c:h val="0.6150258035927327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0</c:v>
                </c:pt>
                <c:pt idx="1">
                  <c:v>0</c:v>
                </c:pt>
              </c:numCache>
            </c:numRef>
          </c:val>
          <c:extLst>
            <c:ext xmlns:c16="http://schemas.microsoft.com/office/drawing/2014/chart" uri="{C3380CC4-5D6E-409C-BE32-E72D297353CC}">
              <c16:uniqueId val="{00000000-B056-4FBE-A104-9526A03A57E9}"/>
            </c:ext>
          </c:extLst>
        </c:ser>
        <c:ser>
          <c:idx val="1"/>
          <c:order val="1"/>
          <c:tx>
            <c:strRef>
              <c:f>data!$VO$28</c:f>
              <c:strCache>
                <c:ptCount val="1"/>
                <c:pt idx="0">
                  <c:v>hardware prefetch rate and software prefetch rate (L1D,L2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0</c:v>
                </c:pt>
                <c:pt idx="1">
                  <c:v>0</c:v>
                </c:pt>
              </c:numCache>
            </c:numRef>
          </c:val>
          <c:extLst>
            <c:ext xmlns:c16="http://schemas.microsoft.com/office/drawing/2014/chart" uri="{C3380CC4-5D6E-409C-BE32-E72D297353CC}">
              <c16:uniqueId val="{00000001-B056-4FBE-A104-9526A03A57E9}"/>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r"/>
      <c:layout>
        <c:manualLayout>
          <c:xMode val="edge"/>
          <c:yMode val="edge"/>
          <c:x val="1.5245637113858762E-2"/>
          <c:y val="0.10923079038556735"/>
          <c:w val="0.95837138562567536"/>
          <c:h val="0.1545004601697515"/>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5"/>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Ref>
          </c:cat>
          <c:val>
            <c:numRef>
              <c:f>data!$TS$42:$TS$54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6C3-4FBB-A972-561189776C17}"/>
            </c:ext>
          </c:extLst>
        </c:ser>
        <c:ser>
          <c:idx val="6"/>
          <c:order val="6"/>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Ref>
          </c:cat>
          <c:val>
            <c:numRef>
              <c:f>data!$TT$42:$TT$54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76C3-4FBB-A972-561189776C17}"/>
            </c:ext>
          </c:extLst>
        </c:ser>
        <c:ser>
          <c:idx val="8"/>
          <c:order val="7"/>
          <c:tx>
            <c:strRef>
              <c:f>data!$TU$38</c:f>
              <c:strCache>
                <c:ptCount val="1"/>
                <c:pt idx="0">
                  <c:v>Operation wait</c:v>
                </c:pt>
              </c:strCache>
            </c:strRef>
          </c:tx>
          <c:spPr>
            <a:solidFill>
              <a:srgbClr val="CCCCFF"/>
            </a:solidFill>
            <a:ln>
              <a:solidFill>
                <a:schemeClr val="tx1"/>
              </a:solidFill>
            </a:ln>
          </c:spPr>
          <c:invertIfNegative val="0"/>
          <c:cat>
            <c:multiLvlStrRef>
              <c:f>data!$TQ$42:$TR$54</c:f>
            </c:multiLvlStrRef>
          </c:cat>
          <c:val>
            <c:numRef>
              <c:f>data!$TU$42:$TU$54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76C3-4FBB-A972-561189776C17}"/>
            </c:ext>
          </c:extLst>
        </c:ser>
        <c:ser>
          <c:idx val="9"/>
          <c:order val="8"/>
          <c:tx>
            <c:strRef>
              <c:f>data!$TV$38</c:f>
              <c:strCache>
                <c:ptCount val="1"/>
                <c:pt idx="0">
                  <c:v>Other wait</c:v>
                </c:pt>
              </c:strCache>
            </c:strRef>
          </c:tx>
          <c:spPr>
            <a:solidFill>
              <a:srgbClr val="FF9900"/>
            </a:solidFill>
            <a:ln>
              <a:solidFill>
                <a:schemeClr val="tx1"/>
              </a:solidFill>
            </a:ln>
          </c:spPr>
          <c:invertIfNegative val="0"/>
          <c:cat>
            <c:multiLvlStrRef>
              <c:f>data!$TQ$42:$TR$54</c:f>
            </c:multiLvlStrRef>
          </c:cat>
          <c:val>
            <c:numRef>
              <c:f>data!$TV$42:$TV$54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76C3-4FBB-A972-561189776C17}"/>
            </c:ext>
          </c:extLst>
        </c:ser>
        <c:ser>
          <c:idx val="13"/>
          <c:order val="9"/>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0"/>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Ref>
          </c:cat>
          <c:val>
            <c:numRef>
              <c:f>data!$TX$42:$TX$54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76C3-4FBB-A972-561189776C17}"/>
            </c:ext>
          </c:extLst>
        </c:ser>
        <c:ser>
          <c:idx val="10"/>
          <c:order val="11"/>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76C3-4FBB-A972-561189776C17}"/>
            </c:ext>
          </c:extLst>
        </c:ser>
        <c:ser>
          <c:idx val="12"/>
          <c:order val="12"/>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Ref>
          </c:cat>
          <c:val>
            <c:numRef>
              <c:f>data!$TZ$42:$TZ$54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7-76C3-4FBB-A972-561189776C17}"/>
            </c:ext>
          </c:extLst>
        </c:ser>
        <c:ser>
          <c:idx val="11"/>
          <c:order val="13"/>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Ref>
          </c:cat>
          <c:val>
            <c:numRef>
              <c:f>data!$UA$42:$UA$54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0"/>
          <c:order val="0"/>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Ref>
          </c:cat>
          <c:val>
            <c:numRef>
              <c:f>data!$TR$31:$TR$35</c:f>
              <c:numCache>
                <c:formatCode>General</c:formatCode>
                <c:ptCount val="5"/>
                <c:pt idx="0" formatCode="0.00E+00">
                  <c:v>0</c:v>
                </c:pt>
              </c:numCache>
            </c:numRef>
          </c:val>
          <c:extLst>
            <c:ext xmlns:c16="http://schemas.microsoft.com/office/drawing/2014/chart" uri="{C3380CC4-5D6E-409C-BE32-E72D297353CC}">
              <c16:uniqueId val="{00000009-76C3-4FBB-A972-561189776C17}"/>
            </c:ext>
          </c:extLst>
        </c:ser>
        <c:ser>
          <c:idx val="1"/>
          <c:order val="1"/>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A-76C3-4FBB-A972-561189776C17}"/>
            </c:ext>
          </c:extLst>
        </c:ser>
        <c:ser>
          <c:idx val="2"/>
          <c:order val="2"/>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Ref>
          </c:cat>
          <c:val>
            <c:numRef>
              <c:f>data!$TT$31:$TT$35</c:f>
              <c:numCache>
                <c:formatCode>General</c:formatCode>
                <c:ptCount val="5"/>
                <c:pt idx="0" formatCode="0.00E+00">
                  <c:v>0</c:v>
                </c:pt>
              </c:numCache>
            </c:numRef>
          </c:val>
          <c:extLst>
            <c:ext xmlns:c16="http://schemas.microsoft.com/office/drawing/2014/chart" uri="{C3380CC4-5D6E-409C-BE32-E72D297353CC}">
              <c16:uniqueId val="{0000000B-76C3-4FBB-A972-561189776C17}"/>
            </c:ext>
          </c:extLst>
        </c:ser>
        <c:ser>
          <c:idx val="3"/>
          <c:order val="3"/>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Ref>
          </c:cat>
          <c:val>
            <c:numRef>
              <c:f>data!$TU$31:$TU$35</c:f>
              <c:numCache>
                <c:formatCode>General</c:formatCode>
                <c:ptCount val="5"/>
                <c:pt idx="0" formatCode="0.00E+00">
                  <c:v>0</c:v>
                </c:pt>
              </c:numCache>
            </c:numRef>
          </c:val>
          <c:extLst>
            <c:ext xmlns:c16="http://schemas.microsoft.com/office/drawing/2014/chart" uri="{C3380CC4-5D6E-409C-BE32-E72D297353CC}">
              <c16:uniqueId val="{0000000C-76C3-4FBB-A972-561189776C17}"/>
            </c:ext>
          </c:extLst>
        </c:ser>
        <c:ser>
          <c:idx val="4"/>
          <c:order val="4"/>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Ref>
          </c:cat>
          <c:val>
            <c:numRef>
              <c:f>data!$TV$31:$TV$35</c:f>
              <c:numCache>
                <c:formatCode>General</c:formatCode>
                <c:ptCount val="5"/>
                <c:pt idx="0" formatCode="0.00E+00">
                  <c:v>0</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0.00E+00"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6861667853571467"/>
          <c:h val="0.7979128091314934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0"/>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C81-4621-B088-67C1A5D48C99}"/>
            </c:ext>
          </c:extLst>
        </c:ser>
        <c:ser>
          <c:idx val="24"/>
          <c:order val="1"/>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2"/>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Ref>
          </c:cat>
          <c:val>
            <c:numRef>
              <c:f>data!$UG$42:$UG$54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0C81-4621-B088-67C1A5D48C99}"/>
            </c:ext>
          </c:extLst>
        </c:ser>
        <c:ser>
          <c:idx val="2"/>
          <c:order val="3"/>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0C81-4621-B088-67C1A5D48C99}"/>
            </c:ext>
          </c:extLst>
        </c:ser>
        <c:ser>
          <c:idx val="4"/>
          <c:order val="4"/>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Ref>
          </c:cat>
          <c:val>
            <c:numRef>
              <c:f>data!$UI$42:$UI$54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0C81-4621-B088-67C1A5D48C99}"/>
            </c:ext>
          </c:extLst>
        </c:ser>
        <c:ser>
          <c:idx val="5"/>
          <c:order val="5"/>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Ref>
          </c:cat>
          <c:val>
            <c:numRef>
              <c:f>data!$UJ$42:$UJ$54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0C81-4621-B088-67C1A5D48C99}"/>
            </c:ext>
          </c:extLst>
        </c:ser>
        <c:ser>
          <c:idx val="6"/>
          <c:order val="6"/>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Ref>
          </c:cat>
          <c:val>
            <c:numRef>
              <c:f>data!$UK$42:$UK$54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0C81-4621-B088-67C1A5D48C99}"/>
            </c:ext>
          </c:extLst>
        </c:ser>
        <c:ser>
          <c:idx val="7"/>
          <c:order val="7"/>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Ref>
          </c:cat>
          <c:val>
            <c:numRef>
              <c:f>data!$UL$42:$UL$54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7-0C81-4621-B088-67C1A5D48C99}"/>
            </c:ext>
          </c:extLst>
        </c:ser>
        <c:ser>
          <c:idx val="10"/>
          <c:order val="8"/>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Ref>
          </c:cat>
          <c:val>
            <c:numRef>
              <c:f>data!$UM$42:$UM$54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8-0C81-4621-B088-67C1A5D48C99}"/>
            </c:ext>
          </c:extLst>
        </c:ser>
        <c:ser>
          <c:idx val="11"/>
          <c:order val="9"/>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Ref>
          </c:cat>
          <c:val>
            <c:numRef>
              <c:f>data!$UN$42:$UN$54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9-0C81-4621-B088-67C1A5D48C99}"/>
            </c:ext>
          </c:extLst>
        </c:ser>
        <c:ser>
          <c:idx val="3"/>
          <c:order val="10"/>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Ref>
          </c:cat>
          <c:val>
            <c:numRef>
              <c:f>data!$UO$42:$UO$54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A-0C81-4621-B088-67C1A5D48C99}"/>
            </c:ext>
          </c:extLst>
        </c:ser>
        <c:ser>
          <c:idx val="8"/>
          <c:order val="11"/>
          <c:tx>
            <c:strRef>
              <c:f>data!$UP$38</c:f>
              <c:strCache>
                <c:ptCount val="1"/>
                <c:pt idx="0">
                  <c:v>Other wait</c:v>
                </c:pt>
              </c:strCache>
            </c:strRef>
          </c:tx>
          <c:spPr>
            <a:solidFill>
              <a:srgbClr val="FF9900"/>
            </a:solidFill>
            <a:ln>
              <a:solidFill>
                <a:schemeClr val="tx1"/>
              </a:solidFill>
            </a:ln>
          </c:spPr>
          <c:invertIfNegative val="0"/>
          <c:cat>
            <c:multiLvlStrRef>
              <c:f>data!$UC$42:$UD$54</c:f>
            </c:multiLvlStrRef>
          </c:cat>
          <c:val>
            <c:numRef>
              <c:f>data!$UP$42:$UP$54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B-0C81-4621-B088-67C1A5D48C99}"/>
            </c:ext>
          </c:extLst>
        </c:ser>
        <c:ser>
          <c:idx val="9"/>
          <c:order val="12"/>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3"/>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Ref>
          </c:cat>
          <c:val>
            <c:numRef>
              <c:f>data!$UR$42:$UR$54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D-0C81-4621-B088-67C1A5D48C99}"/>
            </c:ext>
          </c:extLst>
        </c:ser>
        <c:ser>
          <c:idx val="13"/>
          <c:order val="14"/>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0C81-4621-B088-67C1A5D48C99}"/>
            </c:ext>
          </c:extLst>
        </c:ser>
        <c:ser>
          <c:idx val="15"/>
          <c:order val="15"/>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Ref>
          </c:cat>
          <c:val>
            <c:numRef>
              <c:f>data!$UT$42:$UT$54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F-0C81-4621-B088-67C1A5D48C99}"/>
            </c:ext>
          </c:extLst>
        </c:ser>
        <c:ser>
          <c:idx val="16"/>
          <c:order val="16"/>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Ref>
          </c:cat>
          <c:val>
            <c:numRef>
              <c:f>data!$UU$42:$UU$54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0-0C81-4621-B088-67C1A5D48C99}"/>
            </c:ext>
          </c:extLst>
        </c:ser>
        <c:ser>
          <c:idx val="17"/>
          <c:order val="17"/>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Ref>
          </c:cat>
          <c:val>
            <c:numRef>
              <c:f>data!$UV$42:$UV$54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1-0C81-4621-B088-67C1A5D48C99}"/>
            </c:ext>
          </c:extLst>
        </c:ser>
        <c:ser>
          <c:idx val="18"/>
          <c:order val="18"/>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Ref>
          </c:cat>
          <c:val>
            <c:numRef>
              <c:f>data!$UW$42:$UW$54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2-0C81-4621-B088-67C1A5D48C99}"/>
            </c:ext>
          </c:extLst>
        </c:ser>
        <c:ser>
          <c:idx val="14"/>
          <c:order val="19"/>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Ref>
          </c:cat>
          <c:val>
            <c:numRef>
              <c:f>data!$UX$42:$UX$54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19"/>
          <c:order val="20"/>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0</c:v>
                </c:pt>
              </c:numCache>
            </c:numRef>
          </c:val>
          <c:extLst>
            <c:ext xmlns:c16="http://schemas.microsoft.com/office/drawing/2014/chart" uri="{C3380CC4-5D6E-409C-BE32-E72D297353CC}">
              <c16:uniqueId val="{00000014-0C81-4621-B088-67C1A5D48C99}"/>
            </c:ext>
          </c:extLst>
        </c:ser>
        <c:ser>
          <c:idx val="20"/>
          <c:order val="21"/>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c:v>
                </c:pt>
              </c:numCache>
            </c:numRef>
          </c:val>
          <c:extLst>
            <c:ext xmlns:c16="http://schemas.microsoft.com/office/drawing/2014/chart" uri="{C3380CC4-5D6E-409C-BE32-E72D297353CC}">
              <c16:uniqueId val="{00000015-0C81-4621-B088-67C1A5D48C99}"/>
            </c:ext>
          </c:extLst>
        </c:ser>
        <c:ser>
          <c:idx val="21"/>
          <c:order val="22"/>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0</c:v>
                </c:pt>
              </c:numCache>
            </c:numRef>
          </c:val>
          <c:extLst>
            <c:ext xmlns:c16="http://schemas.microsoft.com/office/drawing/2014/chart" uri="{C3380CC4-5D6E-409C-BE32-E72D297353CC}">
              <c16:uniqueId val="{00000016-0C81-4621-B088-67C1A5D48C99}"/>
            </c:ext>
          </c:extLst>
        </c:ser>
        <c:ser>
          <c:idx val="22"/>
          <c:order val="23"/>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0</c:v>
                </c:pt>
              </c:numCache>
            </c:numRef>
          </c:val>
          <c:extLst>
            <c:ext xmlns:c16="http://schemas.microsoft.com/office/drawing/2014/chart" uri="{C3380CC4-5D6E-409C-BE32-E72D297353CC}">
              <c16:uniqueId val="{00000017-0C81-4621-B088-67C1A5D48C99}"/>
            </c:ext>
          </c:extLst>
        </c:ser>
        <c:ser>
          <c:idx val="23"/>
          <c:order val="24"/>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0</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0.00E+00"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7403739453348622"/>
          <c:h val="0.92201335350597713"/>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 (/Load-store instructions)</a:t>
            </a:r>
            <a:endParaRPr lang="ja-JP" altLang="en-US" sz="1200"/>
          </a:p>
        </c:rich>
      </c:tx>
      <c:overlay val="0"/>
    </c:title>
    <c:autoTitleDeleted val="0"/>
    <c:plotArea>
      <c:layout>
        <c:manualLayout>
          <c:layoutTarget val="inner"/>
          <c:xMode val="edge"/>
          <c:yMode val="edge"/>
          <c:x val="0.23332668828143061"/>
          <c:y val="0.29607485427957869"/>
          <c:w val="0.64752687882727467"/>
          <c:h val="0.6150258035927327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0</c:v>
                </c:pt>
                <c:pt idx="1">
                  <c:v>0</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 (L1D,L2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0</c:v>
                </c:pt>
                <c:pt idx="1">
                  <c:v>0</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r"/>
      <c:layout>
        <c:manualLayout>
          <c:xMode val="edge"/>
          <c:yMode val="edge"/>
          <c:x val="1.5245637113858762E-2"/>
          <c:y val="0.10923079038556735"/>
          <c:w val="0.95837138562567536"/>
          <c:h val="0.1545004601697515"/>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 (/Load-store instructions)</a:t>
            </a:r>
            <a:endParaRPr lang="ja-JP" altLang="en-US" sz="1200"/>
          </a:p>
        </c:rich>
      </c:tx>
      <c:overlay val="0"/>
    </c:title>
    <c:autoTitleDeleted val="0"/>
    <c:plotArea>
      <c:layout>
        <c:manualLayout>
          <c:layoutTarget val="inner"/>
          <c:xMode val="edge"/>
          <c:yMode val="edge"/>
          <c:x val="0.2263994279344767"/>
          <c:y val="0.29530463237549853"/>
          <c:w val="0.58093905033469262"/>
          <c:h val="0.61139053072911342"/>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0</c:v>
                </c:pt>
                <c:pt idx="1">
                  <c:v>0</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 (L1D,L2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c:v>
                </c:pt>
                <c:pt idx="1">
                  <c:v>0</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0</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r"/>
      <c:layout>
        <c:manualLayout>
          <c:xMode val="edge"/>
          <c:yMode val="edge"/>
          <c:x val="2.2644831098301513E-2"/>
          <c:y val="0.10990557998432014"/>
          <c:w val="0.9596419960484549"/>
          <c:h val="0.1508031496062992"/>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884463</xdr:colOff>
      <xdr:row>27</xdr:row>
      <xdr:rowOff>0</xdr:rowOff>
    </xdr:from>
    <xdr:to>
      <xdr:col>24</xdr:col>
      <xdr:colOff>693963</xdr:colOff>
      <xdr:row>67</xdr:row>
      <xdr:rowOff>0</xdr:rowOff>
    </xdr:to>
    <xdr:graphicFrame macro="">
      <xdr:nvGraphicFramePr>
        <xdr:cNvPr id="14" name="Graph_Cache_Lv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26</xdr:row>
      <xdr:rowOff>199570</xdr:rowOff>
    </xdr:from>
    <xdr:to>
      <xdr:col>38</xdr:col>
      <xdr:colOff>0</xdr:colOff>
      <xdr:row>66</xdr:row>
      <xdr:rowOff>199570</xdr:rowOff>
    </xdr:to>
    <xdr:graphicFrame macro="">
      <xdr:nvGraphicFramePr>
        <xdr:cNvPr id="6" name="Graph_CA_Lv3">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7" name="Graph_CA_Lv2">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8" name="Graph_Cache_Lv2">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0.94197</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36766" y="7153495"/>
          <a:ext cx="4046318" cy="429528"/>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34</xdr:row>
      <xdr:rowOff>0</xdr:rowOff>
    </xdr:from>
    <xdr:to>
      <xdr:col>586</xdr:col>
      <xdr:colOff>1241961</xdr:colOff>
      <xdr:row>69</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588</xdr:col>
      <xdr:colOff>0</xdr:colOff>
      <xdr:row>34</xdr:row>
      <xdr:rowOff>1</xdr:rowOff>
    </xdr:from>
    <xdr:to>
      <xdr:col>591</xdr:col>
      <xdr:colOff>0</xdr:colOff>
      <xdr:row>69</xdr:row>
      <xdr:rowOff>1</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94</xdr:col>
      <xdr:colOff>258535</xdr:colOff>
      <xdr:row>8</xdr:row>
      <xdr:rowOff>517072</xdr:rowOff>
    </xdr:from>
    <xdr:to>
      <xdr:col>96</xdr:col>
      <xdr:colOff>1211034</xdr:colOff>
      <xdr:row>20</xdr:row>
      <xdr:rowOff>123265</xdr:rowOff>
    </xdr:to>
    <xdr:sp macro="" textlink="">
      <xdr:nvSpPr>
        <xdr:cNvPr id="21" name="角丸四角形吹き出し 12">
          <a:extLst>
            <a:ext uri="{FF2B5EF4-FFF2-40B4-BE49-F238E27FC236}">
              <a16:creationId xmlns:a16="http://schemas.microsoft.com/office/drawing/2014/main" id="{00000000-0008-0000-0100-000015000000}"/>
            </a:ext>
          </a:extLst>
        </xdr:cNvPr>
        <xdr:cNvSpPr/>
      </xdr:nvSpPr>
      <xdr:spPr>
        <a:xfrm>
          <a:off x="106026856" y="2462893"/>
          <a:ext cx="4612821" cy="2531729"/>
        </a:xfrm>
        <a:prstGeom prst="wedgeRoundRectCallout">
          <a:avLst>
            <a:gd name="adj1" fmla="val -41973"/>
            <a:gd name="adj2" fmla="val 9254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800"/>
            <a:t>2019/12/12 </a:t>
          </a:r>
          <a:r>
            <a:rPr kumimoji="1" lang="ja-JP" altLang="en-US" sz="1800"/>
            <a:t>高橋 </a:t>
          </a:r>
          <a:endParaRPr kumimoji="1" lang="en-US" altLang="ja-JP" sz="1800"/>
        </a:p>
        <a:p>
          <a:pPr algn="l"/>
          <a:r>
            <a:rPr kumimoji="1" lang="ja-JP" altLang="en-US" sz="1800"/>
            <a:t>・</a:t>
          </a:r>
          <a:r>
            <a:rPr kumimoji="1" lang="en-US" altLang="ja-JP" sz="1800"/>
            <a:t>ES04-3</a:t>
          </a:r>
          <a:r>
            <a:rPr kumimoji="1" lang="ja-JP" altLang="en-US" sz="1800"/>
            <a:t>修正</a:t>
          </a:r>
          <a:endParaRPr kumimoji="1" lang="en-US" altLang="ja-JP" sz="1800"/>
        </a:p>
        <a:p>
          <a:pPr algn="l"/>
          <a:r>
            <a:rPr kumimoji="1" lang="en-US" altLang="ja-JP" sz="2000">
              <a:solidFill>
                <a:schemeClr val="lt1"/>
              </a:solidFill>
              <a:effectLst/>
              <a:latin typeface="+mn-lt"/>
              <a:ea typeface="+mn-ea"/>
              <a:cs typeface="+mn-cs"/>
            </a:rPr>
            <a:t>L1D_CACHE_REFILL_DM (0x0200)</a:t>
          </a:r>
          <a:endParaRPr lang="ja-JP" altLang="ja-JP" sz="3600">
            <a:effectLst/>
          </a:endParaRPr>
        </a:p>
        <a:p>
          <a:pPr algn="l"/>
          <a:r>
            <a:rPr kumimoji="1" lang="ja-JP" altLang="ja-JP" sz="1100">
              <a:solidFill>
                <a:schemeClr val="lt1"/>
              </a:solidFill>
              <a:effectLst/>
              <a:latin typeface="+mn-lt"/>
              <a:ea typeface="+mn-ea"/>
              <a:cs typeface="+mn-cs"/>
            </a:rPr>
            <a:t>↓↓↓↓↓↓</a:t>
          </a:r>
          <a:endParaRPr kumimoji="1" lang="en-US" altLang="ja-JP" sz="1800"/>
        </a:p>
        <a:p>
          <a:pPr algn="l"/>
          <a:r>
            <a:rPr kumimoji="1" lang="en-US" altLang="ja-JP" sz="2000"/>
            <a:t>L1D_CACHE_REFILL_PRF (0x0049)</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0.61696</cdr:x>
      <cdr:y>0.94197</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36766" y="7153495"/>
          <a:ext cx="4046318" cy="429528"/>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6"/>
  <sheetViews>
    <sheetView tabSelected="1" zoomScale="7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501" t="str">
        <f>"CPU Performance Analysis Report " &amp; data!C18</f>
        <v>CPU Performance Analysis Report 4.1.0</v>
      </c>
    </row>
    <row r="2" spans="1:44" ht="16.5" thickBot="1" x14ac:dyDescent="0.2"/>
    <row r="3" spans="1:44" x14ac:dyDescent="0.15">
      <c r="A3" s="830" t="str">
        <f>data!F4</f>
        <v>Measured time</v>
      </c>
      <c r="B3" s="831"/>
      <c r="C3" s="832" t="str">
        <f>data!G4</f>
        <v/>
      </c>
      <c r="D3" s="833"/>
      <c r="E3" s="833"/>
      <c r="F3" s="834"/>
      <c r="H3" s="840" t="str">
        <f>data!F10</f>
        <v>Process no.</v>
      </c>
      <c r="I3" s="841"/>
      <c r="J3" s="842" t="str">
        <f>data!G10</f>
        <v/>
      </c>
      <c r="K3" s="842"/>
      <c r="L3" s="842"/>
      <c r="M3" s="843"/>
      <c r="O3" s="840" t="str">
        <f>data!F14</f>
        <v>Vector length (bit)</v>
      </c>
      <c r="P3" s="841"/>
      <c r="Q3" s="848" t="str">
        <f>data!G14</f>
        <v/>
      </c>
      <c r="R3" s="848"/>
      <c r="S3" s="848"/>
      <c r="T3" s="849"/>
    </row>
    <row r="4" spans="1:44" ht="16.5" thickBot="1" x14ac:dyDescent="0.2">
      <c r="A4" s="835" t="str">
        <f>data!F5</f>
        <v>Node name</v>
      </c>
      <c r="B4" s="836"/>
      <c r="C4" s="837" t="str">
        <f>data!G5</f>
        <v/>
      </c>
      <c r="D4" s="838"/>
      <c r="E4" s="838"/>
      <c r="F4" s="839"/>
      <c r="H4" s="844" t="str">
        <f>data!F11</f>
        <v>CMG no.</v>
      </c>
      <c r="I4" s="845"/>
      <c r="J4" s="846" t="str">
        <f>data!G11</f>
        <v/>
      </c>
      <c r="K4" s="846"/>
      <c r="L4" s="846"/>
      <c r="M4" s="847"/>
      <c r="O4" s="821" t="str">
        <f>data!F15</f>
        <v>CPU frequency (GHz)</v>
      </c>
      <c r="P4" s="822"/>
      <c r="Q4" s="828" t="str">
        <f>data!G15</f>
        <v/>
      </c>
      <c r="R4" s="828"/>
      <c r="S4" s="828"/>
      <c r="T4" s="829"/>
    </row>
    <row r="5" spans="1:44" ht="16.5" thickBot="1" x14ac:dyDescent="0.2">
      <c r="H5" s="821" t="str">
        <f>data!F12</f>
        <v>Measured region</v>
      </c>
      <c r="I5" s="822"/>
      <c r="J5" s="823" t="str">
        <f>data!G12</f>
        <v/>
      </c>
      <c r="K5" s="823"/>
      <c r="L5" s="823"/>
      <c r="M5" s="824"/>
    </row>
    <row r="7" spans="1:44" ht="16.5" thickBot="1" x14ac:dyDescent="0.2"/>
    <row r="8" spans="1:44" ht="15.75" customHeight="1" x14ac:dyDescent="0.15">
      <c r="A8" s="673" t="str">
        <f>data!NC25</f>
        <v>Statistics</v>
      </c>
      <c r="B8" s="674"/>
      <c r="C8" s="647" t="str">
        <f>data!NC28</f>
        <v>Execution time (s)</v>
      </c>
      <c r="D8" s="649" t="str">
        <f>data!ND28</f>
        <v>GFLOPS</v>
      </c>
      <c r="E8" s="649" t="str">
        <f>data!NE28</f>
        <v>Floating-point operation peak ratio (%)</v>
      </c>
      <c r="F8" s="649" t="str">
        <f>data!NF28</f>
        <v>Memory throughput (GB/s)</v>
      </c>
      <c r="G8" s="649" t="str">
        <f>data!NG28</f>
        <v>Memory throughput peak ratio (%)</v>
      </c>
      <c r="H8" s="649" t="str">
        <f>data!NH28</f>
        <v>Effective instruction</v>
      </c>
      <c r="I8" s="649" t="str">
        <f>data!NI28</f>
        <v>Floating-point operation</v>
      </c>
      <c r="J8" s="660" t="str">
        <f>data!NJ28</f>
        <v>SIMD instruction rate (%) (/Effective instruction)</v>
      </c>
      <c r="K8" s="657" t="str">
        <f>data!NK28</f>
        <v>SVE operation rate (%)</v>
      </c>
      <c r="L8" s="657" t="str">
        <f>data!NL28</f>
        <v>Floating-point pipeline Active element rate (%)</v>
      </c>
      <c r="M8" s="657" t="str">
        <f>data!NM28</f>
        <v>IPC</v>
      </c>
      <c r="N8" s="813" t="str">
        <f>data!NN28</f>
        <v>GIPS</v>
      </c>
      <c r="P8" s="698" t="str">
        <f>data!NO25</f>
        <v>Cycle Accounting</v>
      </c>
      <c r="Q8" s="782"/>
      <c r="R8" s="809" t="str">
        <f>data!NO27</f>
        <v>Prefetch port busy wait</v>
      </c>
      <c r="S8" s="795"/>
      <c r="T8" s="751" t="str">
        <f>data!NQ27</f>
        <v>Memory access wait &amp; Cache access wait</v>
      </c>
      <c r="U8" s="752"/>
      <c r="V8" s="752"/>
      <c r="W8" s="752"/>
      <c r="X8" s="752"/>
      <c r="Y8" s="753"/>
      <c r="Z8" s="751" t="str">
        <f>data!NW27</f>
        <v>Operation wait</v>
      </c>
      <c r="AA8" s="753"/>
      <c r="AB8" s="751" t="str">
        <f>data!NY27</f>
        <v>Other wait</v>
      </c>
      <c r="AC8" s="753"/>
      <c r="AD8" s="758" t="str">
        <f>data!OA28</f>
        <v>Store port busy wait</v>
      </c>
      <c r="AE8" s="758" t="str">
        <f>data!OB28</f>
        <v>Instruction fetch wait</v>
      </c>
      <c r="AF8" s="758" t="str">
        <f>data!OC28</f>
        <v>Barrier synchronization wait</v>
      </c>
      <c r="AG8" s="758" t="str">
        <f>data!OD28</f>
        <v>1 instruction commit</v>
      </c>
      <c r="AH8" s="751" t="str">
        <f>data!OD27</f>
        <v>Other instruction commit</v>
      </c>
      <c r="AI8" s="752"/>
      <c r="AJ8" s="752"/>
      <c r="AK8" s="753"/>
      <c r="AL8" s="742" t="str">
        <f>data!OI28</f>
        <v>Total</v>
      </c>
    </row>
    <row r="9" spans="1:44" ht="15.75" customHeight="1" x14ac:dyDescent="0.15">
      <c r="A9" s="675"/>
      <c r="B9" s="676"/>
      <c r="C9" s="648"/>
      <c r="D9" s="650"/>
      <c r="E9" s="650"/>
      <c r="F9" s="650"/>
      <c r="G9" s="650"/>
      <c r="H9" s="650"/>
      <c r="I9" s="650"/>
      <c r="J9" s="661"/>
      <c r="K9" s="658"/>
      <c r="L9" s="658"/>
      <c r="M9" s="658"/>
      <c r="N9" s="814"/>
      <c r="P9" s="700"/>
      <c r="Q9" s="783"/>
      <c r="R9" s="736" t="str">
        <f>data!NO28</f>
        <v>Prefetch port busy wait by hardware prefetch</v>
      </c>
      <c r="S9" s="686" t="str">
        <f>data!NP28</f>
        <v>Prefetch port busy wait by software prefetch</v>
      </c>
      <c r="T9" s="686" t="str">
        <f>data!NQ28</f>
        <v>Integer load memory access wait</v>
      </c>
      <c r="U9" s="686" t="str">
        <f>data!NR28</f>
        <v>Floating-point load memory access wait</v>
      </c>
      <c r="V9" s="686" t="str">
        <f>data!NS28</f>
        <v>Integer load L2 cache access wait</v>
      </c>
      <c r="W9" s="686" t="str">
        <f>data!NT28</f>
        <v>Integer load L1D cache access wait</v>
      </c>
      <c r="X9" s="686" t="str">
        <f>data!NU28</f>
        <v>Floating-point load L2 cache access wait</v>
      </c>
      <c r="Y9" s="686" t="str">
        <f>data!NV28</f>
        <v>Floating-point load L1D cache access wait (*)</v>
      </c>
      <c r="Z9" s="686" t="str">
        <f>data!NW28</f>
        <v>Integer operation wait</v>
      </c>
      <c r="AA9" s="686" t="str">
        <f>data!NX28</f>
        <v>Floating-point operation wait</v>
      </c>
      <c r="AB9" s="686" t="str">
        <f>data!NY28</f>
        <v>Branch instruction wait</v>
      </c>
      <c r="AC9" s="686" t="str">
        <f>data!NZ28</f>
        <v>Other wait</v>
      </c>
      <c r="AD9" s="759"/>
      <c r="AE9" s="759"/>
      <c r="AF9" s="759"/>
      <c r="AG9" s="759"/>
      <c r="AH9" s="686" t="str">
        <f>data!OE28</f>
        <v>2 instruction commit</v>
      </c>
      <c r="AI9" s="686" t="str">
        <f>data!OF28</f>
        <v>3 instruction commit</v>
      </c>
      <c r="AJ9" s="686" t="str">
        <f>data!OG28</f>
        <v>4 instruction commit</v>
      </c>
      <c r="AK9" s="686" t="str">
        <f>data!OH28</f>
        <v>Other instruction commit</v>
      </c>
      <c r="AL9" s="743"/>
    </row>
    <row r="10" spans="1:44" ht="15.75" customHeight="1" x14ac:dyDescent="0.15">
      <c r="A10" s="675"/>
      <c r="B10" s="676"/>
      <c r="C10" s="648"/>
      <c r="D10" s="650"/>
      <c r="E10" s="650"/>
      <c r="F10" s="650"/>
      <c r="G10" s="650"/>
      <c r="H10" s="650"/>
      <c r="I10" s="650"/>
      <c r="J10" s="661"/>
      <c r="K10" s="658"/>
      <c r="L10" s="658"/>
      <c r="M10" s="658"/>
      <c r="N10" s="814"/>
      <c r="P10" s="700"/>
      <c r="Q10" s="783"/>
      <c r="R10" s="737"/>
      <c r="S10" s="687"/>
      <c r="T10" s="687"/>
      <c r="U10" s="687"/>
      <c r="V10" s="687"/>
      <c r="W10" s="687"/>
      <c r="X10" s="687"/>
      <c r="Y10" s="687"/>
      <c r="Z10" s="687"/>
      <c r="AA10" s="687"/>
      <c r="AB10" s="687"/>
      <c r="AC10" s="687"/>
      <c r="AD10" s="759"/>
      <c r="AE10" s="759"/>
      <c r="AF10" s="759"/>
      <c r="AG10" s="759"/>
      <c r="AH10" s="687"/>
      <c r="AI10" s="687"/>
      <c r="AJ10" s="687"/>
      <c r="AK10" s="687"/>
      <c r="AL10" s="743"/>
    </row>
    <row r="11" spans="1:44" ht="15.75" customHeight="1" x14ac:dyDescent="0.15">
      <c r="A11" s="675"/>
      <c r="B11" s="676"/>
      <c r="C11" s="648"/>
      <c r="D11" s="650"/>
      <c r="E11" s="650"/>
      <c r="F11" s="650"/>
      <c r="G11" s="650"/>
      <c r="H11" s="650"/>
      <c r="I11" s="650"/>
      <c r="J11" s="661"/>
      <c r="K11" s="658"/>
      <c r="L11" s="658"/>
      <c r="M11" s="658"/>
      <c r="N11" s="814"/>
      <c r="P11" s="700"/>
      <c r="Q11" s="783"/>
      <c r="R11" s="737"/>
      <c r="S11" s="687"/>
      <c r="T11" s="687"/>
      <c r="U11" s="687"/>
      <c r="V11" s="687"/>
      <c r="W11" s="687"/>
      <c r="X11" s="687"/>
      <c r="Y11" s="687"/>
      <c r="Z11" s="687"/>
      <c r="AA11" s="687"/>
      <c r="AB11" s="687"/>
      <c r="AC11" s="687"/>
      <c r="AD11" s="759"/>
      <c r="AE11" s="759"/>
      <c r="AF11" s="759"/>
      <c r="AG11" s="759"/>
      <c r="AH11" s="687"/>
      <c r="AI11" s="687"/>
      <c r="AJ11" s="687"/>
      <c r="AK11" s="687"/>
      <c r="AL11" s="743"/>
    </row>
    <row r="12" spans="1:44" ht="15.6" customHeight="1" x14ac:dyDescent="0.15">
      <c r="A12" s="675"/>
      <c r="B12" s="676"/>
      <c r="C12" s="648"/>
      <c r="D12" s="650"/>
      <c r="E12" s="651"/>
      <c r="F12" s="650"/>
      <c r="G12" s="651"/>
      <c r="H12" s="650"/>
      <c r="I12" s="650"/>
      <c r="J12" s="662"/>
      <c r="K12" s="658"/>
      <c r="L12" s="658"/>
      <c r="M12" s="658"/>
      <c r="N12" s="814"/>
      <c r="P12" s="702"/>
      <c r="Q12" s="784"/>
      <c r="R12" s="745"/>
      <c r="S12" s="746"/>
      <c r="T12" s="747"/>
      <c r="U12" s="748"/>
      <c r="V12" s="749"/>
      <c r="W12" s="688"/>
      <c r="X12" s="750"/>
      <c r="Y12" s="688"/>
      <c r="Z12" s="754"/>
      <c r="AA12" s="755"/>
      <c r="AB12" s="756"/>
      <c r="AC12" s="757"/>
      <c r="AD12" s="766"/>
      <c r="AE12" s="760"/>
      <c r="AF12" s="764"/>
      <c r="AG12" s="765"/>
      <c r="AH12" s="761"/>
      <c r="AI12" s="762"/>
      <c r="AJ12" s="763"/>
      <c r="AK12" s="767"/>
      <c r="AL12" s="744"/>
    </row>
    <row r="13" spans="1:44" ht="15.75" customHeight="1" thickBot="1" x14ac:dyDescent="0.2">
      <c r="A13" s="486" t="s">
        <v>1486</v>
      </c>
      <c r="B13" s="487" t="s">
        <v>1487</v>
      </c>
      <c r="C13" s="143"/>
      <c r="D13" s="135"/>
      <c r="E13" s="35"/>
      <c r="F13" s="135"/>
      <c r="G13" s="36"/>
      <c r="H13" s="135"/>
      <c r="I13" s="135"/>
      <c r="J13" s="56"/>
      <c r="K13" s="63"/>
      <c r="L13" s="134"/>
      <c r="M13" s="136"/>
      <c r="N13" s="137"/>
      <c r="P13" s="486" t="s">
        <v>1486</v>
      </c>
      <c r="Q13" s="487" t="s">
        <v>1487</v>
      </c>
      <c r="R13" s="625"/>
      <c r="S13" s="626"/>
      <c r="T13" s="627"/>
      <c r="U13" s="627"/>
      <c r="V13" s="627"/>
      <c r="W13" s="627"/>
      <c r="X13" s="627"/>
      <c r="Y13" s="627"/>
      <c r="Z13" s="627"/>
      <c r="AA13" s="627"/>
      <c r="AB13" s="627"/>
      <c r="AC13" s="627"/>
      <c r="AD13" s="627"/>
      <c r="AE13" s="627"/>
      <c r="AF13" s="627"/>
      <c r="AG13" s="627"/>
      <c r="AH13" s="627"/>
      <c r="AI13" s="627"/>
      <c r="AJ13" s="627"/>
      <c r="AK13" s="627"/>
      <c r="AL13" s="482"/>
      <c r="AR13" s="25"/>
    </row>
    <row r="14" spans="1:44" ht="15.75" customHeight="1" x14ac:dyDescent="0.15">
      <c r="A14" s="118" t="str">
        <f>data!$NA$30</f>
        <v/>
      </c>
      <c r="B14" s="119" t="str">
        <f>data!$NB$30</f>
        <v/>
      </c>
      <c r="C14" s="46" t="str">
        <f>data!NC30</f>
        <v/>
      </c>
      <c r="D14" s="48" t="str">
        <f>data!ND30</f>
        <v/>
      </c>
      <c r="E14" s="47" t="str">
        <f>data!NE30</f>
        <v/>
      </c>
      <c r="F14" s="48" t="str">
        <f>data!NF30</f>
        <v/>
      </c>
      <c r="G14" s="652" t="str">
        <f>data!NG42</f>
        <v/>
      </c>
      <c r="H14" s="37" t="str">
        <f>data!NH30</f>
        <v/>
      </c>
      <c r="I14" s="37" t="str">
        <f>data!NI30</f>
        <v/>
      </c>
      <c r="J14" s="57" t="str">
        <f>data!NJ30</f>
        <v/>
      </c>
      <c r="K14" s="57" t="str">
        <f>data!NK30</f>
        <v/>
      </c>
      <c r="L14" s="57" t="str">
        <f>data!NL30</f>
        <v/>
      </c>
      <c r="M14" s="59" t="str">
        <f>data!NM30</f>
        <v/>
      </c>
      <c r="N14" s="60" t="str">
        <f>data!NN30</f>
        <v/>
      </c>
      <c r="P14" s="118" t="str">
        <f>data!$NA$30</f>
        <v/>
      </c>
      <c r="Q14" s="119" t="str">
        <f>data!$NB$30</f>
        <v/>
      </c>
      <c r="R14" s="106" t="str">
        <f>data!NO30</f>
        <v/>
      </c>
      <c r="S14" s="107" t="str">
        <f>data!NP30</f>
        <v/>
      </c>
      <c r="T14" s="107" t="str">
        <f>data!NQ30</f>
        <v/>
      </c>
      <c r="U14" s="107" t="str">
        <f>data!NR30</f>
        <v/>
      </c>
      <c r="V14" s="107" t="str">
        <f>data!NS30</f>
        <v/>
      </c>
      <c r="W14" s="107" t="str">
        <f>data!NT30</f>
        <v/>
      </c>
      <c r="X14" s="107" t="str">
        <f>data!NU30</f>
        <v/>
      </c>
      <c r="Y14" s="107" t="str">
        <f>data!NV30</f>
        <v/>
      </c>
      <c r="Z14" s="107" t="str">
        <f>data!NW30</f>
        <v/>
      </c>
      <c r="AA14" s="107" t="str">
        <f>data!NX30</f>
        <v/>
      </c>
      <c r="AB14" s="107" t="str">
        <f>data!NY30</f>
        <v/>
      </c>
      <c r="AC14" s="107" t="str">
        <f>data!NZ30</f>
        <v/>
      </c>
      <c r="AD14" s="107" t="str">
        <f>data!OA30</f>
        <v/>
      </c>
      <c r="AE14" s="107" t="str">
        <f>data!OB30</f>
        <v/>
      </c>
      <c r="AF14" s="107" t="str">
        <f>data!OC30</f>
        <v/>
      </c>
      <c r="AG14" s="107" t="str">
        <f>data!OD30</f>
        <v/>
      </c>
      <c r="AH14" s="107" t="str">
        <f>data!OE30</f>
        <v/>
      </c>
      <c r="AI14" s="107" t="str">
        <f>data!OF30</f>
        <v/>
      </c>
      <c r="AJ14" s="107" t="str">
        <f>data!OG30</f>
        <v/>
      </c>
      <c r="AK14" s="107" t="str">
        <f>data!OH30</f>
        <v/>
      </c>
      <c r="AL14" s="108" t="str">
        <f>data!OI30</f>
        <v/>
      </c>
      <c r="AR14" s="24"/>
    </row>
    <row r="15" spans="1:44" ht="15.75" customHeight="1" x14ac:dyDescent="0.15">
      <c r="A15" s="120" t="str">
        <f>data!$NA$31</f>
        <v/>
      </c>
      <c r="B15" s="121" t="str">
        <f>data!$NB$31</f>
        <v/>
      </c>
      <c r="C15" s="49" t="str">
        <f>data!NC31</f>
        <v/>
      </c>
      <c r="D15" s="13" t="str">
        <f>data!ND31</f>
        <v/>
      </c>
      <c r="E15" s="5" t="str">
        <f>data!NE31</f>
        <v/>
      </c>
      <c r="F15" s="13" t="str">
        <f>data!NF31</f>
        <v/>
      </c>
      <c r="G15" s="653"/>
      <c r="H15" s="6" t="str">
        <f>data!NH31</f>
        <v/>
      </c>
      <c r="I15" s="6" t="str">
        <f>data!NI31</f>
        <v/>
      </c>
      <c r="J15" s="58" t="str">
        <f>data!NJ31</f>
        <v/>
      </c>
      <c r="K15" s="126" t="str">
        <f>data!NK31</f>
        <v/>
      </c>
      <c r="L15" s="126" t="str">
        <f>data!NL31</f>
        <v/>
      </c>
      <c r="M15" s="61" t="str">
        <f>data!NM31</f>
        <v/>
      </c>
      <c r="N15" s="62" t="str">
        <f>data!NN31</f>
        <v/>
      </c>
      <c r="P15" s="122" t="str">
        <f>data!$NA$31</f>
        <v/>
      </c>
      <c r="Q15" s="123" t="str">
        <f>data!$NB$31</f>
        <v/>
      </c>
      <c r="R15" s="109" t="str">
        <f>data!NO31</f>
        <v/>
      </c>
      <c r="S15" s="110" t="str">
        <f>data!NP31</f>
        <v/>
      </c>
      <c r="T15" s="110" t="str">
        <f>data!NQ31</f>
        <v/>
      </c>
      <c r="U15" s="110" t="str">
        <f>data!NR31</f>
        <v/>
      </c>
      <c r="V15" s="110" t="str">
        <f>data!NS31</f>
        <v/>
      </c>
      <c r="W15" s="110" t="str">
        <f>data!NT31</f>
        <v/>
      </c>
      <c r="X15" s="110" t="str">
        <f>data!NU31</f>
        <v/>
      </c>
      <c r="Y15" s="110" t="str">
        <f>data!NV31</f>
        <v/>
      </c>
      <c r="Z15" s="110" t="str">
        <f>data!NW31</f>
        <v/>
      </c>
      <c r="AA15" s="110" t="str">
        <f>data!NX31</f>
        <v/>
      </c>
      <c r="AB15" s="110" t="str">
        <f>data!NY31</f>
        <v/>
      </c>
      <c r="AC15" s="110" t="str">
        <f>data!NZ31</f>
        <v/>
      </c>
      <c r="AD15" s="110" t="str">
        <f>data!OA31</f>
        <v/>
      </c>
      <c r="AE15" s="110" t="str">
        <f>data!OB31</f>
        <v/>
      </c>
      <c r="AF15" s="110" t="str">
        <f>data!OC31</f>
        <v/>
      </c>
      <c r="AG15" s="110" t="str">
        <f>data!OD31</f>
        <v/>
      </c>
      <c r="AH15" s="110" t="str">
        <f>data!OE31</f>
        <v/>
      </c>
      <c r="AI15" s="110" t="str">
        <f>data!OF31</f>
        <v/>
      </c>
      <c r="AJ15" s="110" t="str">
        <f>data!OG31</f>
        <v/>
      </c>
      <c r="AK15" s="110" t="str">
        <f>data!OH31</f>
        <v/>
      </c>
      <c r="AL15" s="111" t="str">
        <f>data!OI31</f>
        <v/>
      </c>
      <c r="AR15" s="24"/>
    </row>
    <row r="16" spans="1:44" ht="15.75" customHeight="1" x14ac:dyDescent="0.15">
      <c r="A16" s="120" t="str">
        <f>data!$NA$32</f>
        <v/>
      </c>
      <c r="B16" s="121" t="str">
        <f>data!$NB$32</f>
        <v/>
      </c>
      <c r="C16" s="49" t="str">
        <f>data!NC32</f>
        <v/>
      </c>
      <c r="D16" s="13" t="str">
        <f>data!ND32</f>
        <v/>
      </c>
      <c r="E16" s="5" t="str">
        <f>data!NE32</f>
        <v/>
      </c>
      <c r="F16" s="13" t="str">
        <f>data!NF32</f>
        <v/>
      </c>
      <c r="G16" s="653"/>
      <c r="H16" s="6" t="str">
        <f>data!NH32</f>
        <v/>
      </c>
      <c r="I16" s="6" t="str">
        <f>data!NI32</f>
        <v/>
      </c>
      <c r="J16" s="58" t="str">
        <f>data!NJ32</f>
        <v/>
      </c>
      <c r="K16" s="126" t="str">
        <f>data!NK32</f>
        <v/>
      </c>
      <c r="L16" s="126" t="str">
        <f>data!NL32</f>
        <v/>
      </c>
      <c r="M16" s="61" t="str">
        <f>data!NM32</f>
        <v/>
      </c>
      <c r="N16" s="62" t="str">
        <f>data!NN32</f>
        <v/>
      </c>
      <c r="P16" s="122" t="str">
        <f>data!$NA$32</f>
        <v/>
      </c>
      <c r="Q16" s="123" t="str">
        <f>data!$NB$32</f>
        <v/>
      </c>
      <c r="R16" s="109" t="str">
        <f>data!NO32</f>
        <v/>
      </c>
      <c r="S16" s="110" t="str">
        <f>data!NP32</f>
        <v/>
      </c>
      <c r="T16" s="110" t="str">
        <f>data!NQ32</f>
        <v/>
      </c>
      <c r="U16" s="110" t="str">
        <f>data!NR32</f>
        <v/>
      </c>
      <c r="V16" s="110" t="str">
        <f>data!NS32</f>
        <v/>
      </c>
      <c r="W16" s="110" t="str">
        <f>data!NT32</f>
        <v/>
      </c>
      <c r="X16" s="110" t="str">
        <f>data!NU32</f>
        <v/>
      </c>
      <c r="Y16" s="110" t="str">
        <f>data!NV32</f>
        <v/>
      </c>
      <c r="Z16" s="110" t="str">
        <f>data!NW32</f>
        <v/>
      </c>
      <c r="AA16" s="110" t="str">
        <f>data!NX32</f>
        <v/>
      </c>
      <c r="AB16" s="110" t="str">
        <f>data!NY32</f>
        <v/>
      </c>
      <c r="AC16" s="110" t="str">
        <f>data!NZ32</f>
        <v/>
      </c>
      <c r="AD16" s="110" t="str">
        <f>data!OA32</f>
        <v/>
      </c>
      <c r="AE16" s="110" t="str">
        <f>data!OB32</f>
        <v/>
      </c>
      <c r="AF16" s="110" t="str">
        <f>data!OC32</f>
        <v/>
      </c>
      <c r="AG16" s="110" t="str">
        <f>data!OD32</f>
        <v/>
      </c>
      <c r="AH16" s="110" t="str">
        <f>data!OE32</f>
        <v/>
      </c>
      <c r="AI16" s="110" t="str">
        <f>data!OF32</f>
        <v/>
      </c>
      <c r="AJ16" s="110" t="str">
        <f>data!OG32</f>
        <v/>
      </c>
      <c r="AK16" s="110" t="str">
        <f>data!OH32</f>
        <v/>
      </c>
      <c r="AL16" s="111" t="str">
        <f>data!OI32</f>
        <v/>
      </c>
      <c r="AR16" s="24"/>
    </row>
    <row r="17" spans="1:44" ht="15.75" customHeight="1" x14ac:dyDescent="0.15">
      <c r="A17" s="120" t="str">
        <f>data!$NA$33</f>
        <v/>
      </c>
      <c r="B17" s="121" t="str">
        <f>data!$NB$33</f>
        <v/>
      </c>
      <c r="C17" s="49" t="str">
        <f>data!NC33</f>
        <v/>
      </c>
      <c r="D17" s="13" t="str">
        <f>data!ND33</f>
        <v/>
      </c>
      <c r="E17" s="5" t="str">
        <f>data!NE33</f>
        <v/>
      </c>
      <c r="F17" s="13" t="str">
        <f>data!NF33</f>
        <v/>
      </c>
      <c r="G17" s="653"/>
      <c r="H17" s="6" t="str">
        <f>data!NH33</f>
        <v/>
      </c>
      <c r="I17" s="6" t="str">
        <f>data!NI33</f>
        <v/>
      </c>
      <c r="J17" s="58" t="str">
        <f>data!NJ33</f>
        <v/>
      </c>
      <c r="K17" s="126" t="str">
        <f>data!NK33</f>
        <v/>
      </c>
      <c r="L17" s="126" t="str">
        <f>data!NL33</f>
        <v/>
      </c>
      <c r="M17" s="61" t="str">
        <f>data!NM33</f>
        <v/>
      </c>
      <c r="N17" s="62" t="str">
        <f>data!NN33</f>
        <v/>
      </c>
      <c r="P17" s="122" t="str">
        <f>data!$NA$33</f>
        <v/>
      </c>
      <c r="Q17" s="123" t="str">
        <f>data!$NB$33</f>
        <v/>
      </c>
      <c r="R17" s="109" t="str">
        <f>data!NO33</f>
        <v/>
      </c>
      <c r="S17" s="110" t="str">
        <f>data!NP33</f>
        <v/>
      </c>
      <c r="T17" s="110" t="str">
        <f>data!NQ33</f>
        <v/>
      </c>
      <c r="U17" s="110" t="str">
        <f>data!NR33</f>
        <v/>
      </c>
      <c r="V17" s="110" t="str">
        <f>data!NS33</f>
        <v/>
      </c>
      <c r="W17" s="110" t="str">
        <f>data!NT33</f>
        <v/>
      </c>
      <c r="X17" s="110" t="str">
        <f>data!NU33</f>
        <v/>
      </c>
      <c r="Y17" s="110" t="str">
        <f>data!NV33</f>
        <v/>
      </c>
      <c r="Z17" s="110" t="str">
        <f>data!NW33</f>
        <v/>
      </c>
      <c r="AA17" s="110" t="str">
        <f>data!NX33</f>
        <v/>
      </c>
      <c r="AB17" s="110" t="str">
        <f>data!NY33</f>
        <v/>
      </c>
      <c r="AC17" s="110" t="str">
        <f>data!NZ33</f>
        <v/>
      </c>
      <c r="AD17" s="110" t="str">
        <f>data!OA33</f>
        <v/>
      </c>
      <c r="AE17" s="110" t="str">
        <f>data!OB33</f>
        <v/>
      </c>
      <c r="AF17" s="110" t="str">
        <f>data!OC33</f>
        <v/>
      </c>
      <c r="AG17" s="110" t="str">
        <f>data!OD33</f>
        <v/>
      </c>
      <c r="AH17" s="110" t="str">
        <f>data!OE33</f>
        <v/>
      </c>
      <c r="AI17" s="110" t="str">
        <f>data!OF33</f>
        <v/>
      </c>
      <c r="AJ17" s="110" t="str">
        <f>data!OG33</f>
        <v/>
      </c>
      <c r="AK17" s="110" t="str">
        <f>data!OH33</f>
        <v/>
      </c>
      <c r="AL17" s="111" t="str">
        <f>data!OI33</f>
        <v/>
      </c>
      <c r="AR17" s="24"/>
    </row>
    <row r="18" spans="1:44" ht="15.75" customHeight="1" x14ac:dyDescent="0.15">
      <c r="A18" s="120" t="str">
        <f>data!$NA$34</f>
        <v/>
      </c>
      <c r="B18" s="121" t="str">
        <f>data!$NB$34</f>
        <v/>
      </c>
      <c r="C18" s="49" t="str">
        <f>data!NC34</f>
        <v/>
      </c>
      <c r="D18" s="13" t="str">
        <f>data!ND34</f>
        <v/>
      </c>
      <c r="E18" s="5" t="str">
        <f>data!NE34</f>
        <v/>
      </c>
      <c r="F18" s="13" t="str">
        <f>data!NF34</f>
        <v/>
      </c>
      <c r="G18" s="653"/>
      <c r="H18" s="6" t="str">
        <f>data!NH34</f>
        <v/>
      </c>
      <c r="I18" s="6" t="str">
        <f>data!NI34</f>
        <v/>
      </c>
      <c r="J18" s="58" t="str">
        <f>data!NJ34</f>
        <v/>
      </c>
      <c r="K18" s="126" t="str">
        <f>data!NK34</f>
        <v/>
      </c>
      <c r="L18" s="126" t="str">
        <f>data!NL34</f>
        <v/>
      </c>
      <c r="M18" s="61" t="str">
        <f>data!NM34</f>
        <v/>
      </c>
      <c r="N18" s="62" t="str">
        <f>data!NN34</f>
        <v/>
      </c>
      <c r="P18" s="122" t="str">
        <f>data!$NA$34</f>
        <v/>
      </c>
      <c r="Q18" s="123" t="str">
        <f>data!$NB$34</f>
        <v/>
      </c>
      <c r="R18" s="109" t="str">
        <f>data!NO34</f>
        <v/>
      </c>
      <c r="S18" s="110" t="str">
        <f>data!NP34</f>
        <v/>
      </c>
      <c r="T18" s="110" t="str">
        <f>data!NQ34</f>
        <v/>
      </c>
      <c r="U18" s="110" t="str">
        <f>data!NR34</f>
        <v/>
      </c>
      <c r="V18" s="110" t="str">
        <f>data!NS34</f>
        <v/>
      </c>
      <c r="W18" s="110" t="str">
        <f>data!NT34</f>
        <v/>
      </c>
      <c r="X18" s="110" t="str">
        <f>data!NU34</f>
        <v/>
      </c>
      <c r="Y18" s="110" t="str">
        <f>data!NV34</f>
        <v/>
      </c>
      <c r="Z18" s="110" t="str">
        <f>data!NW34</f>
        <v/>
      </c>
      <c r="AA18" s="110" t="str">
        <f>data!NX34</f>
        <v/>
      </c>
      <c r="AB18" s="110" t="str">
        <f>data!NY34</f>
        <v/>
      </c>
      <c r="AC18" s="110" t="str">
        <f>data!NZ34</f>
        <v/>
      </c>
      <c r="AD18" s="110" t="str">
        <f>data!OA34</f>
        <v/>
      </c>
      <c r="AE18" s="110" t="str">
        <f>data!OB34</f>
        <v/>
      </c>
      <c r="AF18" s="110" t="str">
        <f>data!OC34</f>
        <v/>
      </c>
      <c r="AG18" s="110" t="str">
        <f>data!OD34</f>
        <v/>
      </c>
      <c r="AH18" s="110" t="str">
        <f>data!OE34</f>
        <v/>
      </c>
      <c r="AI18" s="110" t="str">
        <f>data!OF34</f>
        <v/>
      </c>
      <c r="AJ18" s="110" t="str">
        <f>data!OG34</f>
        <v/>
      </c>
      <c r="AK18" s="110" t="str">
        <f>data!OH34</f>
        <v/>
      </c>
      <c r="AL18" s="111" t="str">
        <f>data!OI34</f>
        <v/>
      </c>
      <c r="AR18" s="24"/>
    </row>
    <row r="19" spans="1:44" ht="15.75" customHeight="1" x14ac:dyDescent="0.15">
      <c r="A19" s="120" t="str">
        <f>data!$NA$35</f>
        <v/>
      </c>
      <c r="B19" s="121" t="str">
        <f>data!$NB$35</f>
        <v/>
      </c>
      <c r="C19" s="49" t="str">
        <f>data!NC35</f>
        <v/>
      </c>
      <c r="D19" s="13" t="str">
        <f>data!ND35</f>
        <v/>
      </c>
      <c r="E19" s="5" t="str">
        <f>data!NE35</f>
        <v/>
      </c>
      <c r="F19" s="13" t="str">
        <f>data!NF35</f>
        <v/>
      </c>
      <c r="G19" s="653"/>
      <c r="H19" s="6" t="str">
        <f>data!NH35</f>
        <v/>
      </c>
      <c r="I19" s="6" t="str">
        <f>data!NI35</f>
        <v/>
      </c>
      <c r="J19" s="58" t="str">
        <f>data!NJ35</f>
        <v/>
      </c>
      <c r="K19" s="126" t="str">
        <f>data!NK35</f>
        <v/>
      </c>
      <c r="L19" s="126" t="str">
        <f>data!NL35</f>
        <v/>
      </c>
      <c r="M19" s="61" t="str">
        <f>data!NM35</f>
        <v/>
      </c>
      <c r="N19" s="62" t="str">
        <f>data!NN35</f>
        <v/>
      </c>
      <c r="P19" s="122" t="str">
        <f>data!$NA$35</f>
        <v/>
      </c>
      <c r="Q19" s="123" t="str">
        <f>data!$NB$35</f>
        <v/>
      </c>
      <c r="R19" s="109" t="str">
        <f>data!NO35</f>
        <v/>
      </c>
      <c r="S19" s="110" t="str">
        <f>data!NP35</f>
        <v/>
      </c>
      <c r="T19" s="110" t="str">
        <f>data!NQ35</f>
        <v/>
      </c>
      <c r="U19" s="110" t="str">
        <f>data!NR35</f>
        <v/>
      </c>
      <c r="V19" s="110" t="str">
        <f>data!NS35</f>
        <v/>
      </c>
      <c r="W19" s="110" t="str">
        <f>data!NT35</f>
        <v/>
      </c>
      <c r="X19" s="110" t="str">
        <f>data!NU35</f>
        <v/>
      </c>
      <c r="Y19" s="110" t="str">
        <f>data!NV35</f>
        <v/>
      </c>
      <c r="Z19" s="110" t="str">
        <f>data!NW35</f>
        <v/>
      </c>
      <c r="AA19" s="110" t="str">
        <f>data!NX35</f>
        <v/>
      </c>
      <c r="AB19" s="110" t="str">
        <f>data!NY35</f>
        <v/>
      </c>
      <c r="AC19" s="110" t="str">
        <f>data!NZ35</f>
        <v/>
      </c>
      <c r="AD19" s="110" t="str">
        <f>data!OA35</f>
        <v/>
      </c>
      <c r="AE19" s="110" t="str">
        <f>data!OB35</f>
        <v/>
      </c>
      <c r="AF19" s="110" t="str">
        <f>data!OC35</f>
        <v/>
      </c>
      <c r="AG19" s="110" t="str">
        <f>data!OD35</f>
        <v/>
      </c>
      <c r="AH19" s="110" t="str">
        <f>data!OE35</f>
        <v/>
      </c>
      <c r="AI19" s="110" t="str">
        <f>data!OF35</f>
        <v/>
      </c>
      <c r="AJ19" s="110" t="str">
        <f>data!OG35</f>
        <v/>
      </c>
      <c r="AK19" s="110" t="str">
        <f>data!OH35</f>
        <v/>
      </c>
      <c r="AL19" s="111" t="str">
        <f>data!OI35</f>
        <v/>
      </c>
      <c r="AR19" s="24"/>
    </row>
    <row r="20" spans="1:44" ht="15.75" customHeight="1" x14ac:dyDescent="0.15">
      <c r="A20" s="120" t="str">
        <f>data!$NA$36</f>
        <v/>
      </c>
      <c r="B20" s="121" t="str">
        <f>data!$NB$36</f>
        <v/>
      </c>
      <c r="C20" s="49" t="str">
        <f>data!NC36</f>
        <v/>
      </c>
      <c r="D20" s="13" t="str">
        <f>data!ND36</f>
        <v/>
      </c>
      <c r="E20" s="5" t="str">
        <f>data!NE36</f>
        <v/>
      </c>
      <c r="F20" s="13" t="str">
        <f>data!NF36</f>
        <v/>
      </c>
      <c r="G20" s="653"/>
      <c r="H20" s="6" t="str">
        <f>data!NH36</f>
        <v/>
      </c>
      <c r="I20" s="6" t="str">
        <f>data!NI36</f>
        <v/>
      </c>
      <c r="J20" s="58" t="str">
        <f>data!NJ36</f>
        <v/>
      </c>
      <c r="K20" s="126" t="str">
        <f>data!NK36</f>
        <v/>
      </c>
      <c r="L20" s="126" t="str">
        <f>data!NL36</f>
        <v/>
      </c>
      <c r="M20" s="61" t="str">
        <f>data!NM36</f>
        <v/>
      </c>
      <c r="N20" s="62" t="str">
        <f>data!NN36</f>
        <v/>
      </c>
      <c r="P20" s="122" t="str">
        <f>data!$NA$36</f>
        <v/>
      </c>
      <c r="Q20" s="123" t="str">
        <f>data!$NB$36</f>
        <v/>
      </c>
      <c r="R20" s="109" t="str">
        <f>data!NO36</f>
        <v/>
      </c>
      <c r="S20" s="110" t="str">
        <f>data!NP36</f>
        <v/>
      </c>
      <c r="T20" s="110" t="str">
        <f>data!NQ36</f>
        <v/>
      </c>
      <c r="U20" s="110" t="str">
        <f>data!NR36</f>
        <v/>
      </c>
      <c r="V20" s="110" t="str">
        <f>data!NS36</f>
        <v/>
      </c>
      <c r="W20" s="110" t="str">
        <f>data!NT36</f>
        <v/>
      </c>
      <c r="X20" s="110" t="str">
        <f>data!NU36</f>
        <v/>
      </c>
      <c r="Y20" s="110" t="str">
        <f>data!NV36</f>
        <v/>
      </c>
      <c r="Z20" s="110" t="str">
        <f>data!NW36</f>
        <v/>
      </c>
      <c r="AA20" s="110" t="str">
        <f>data!NX36</f>
        <v/>
      </c>
      <c r="AB20" s="110" t="str">
        <f>data!NY36</f>
        <v/>
      </c>
      <c r="AC20" s="110" t="str">
        <f>data!NZ36</f>
        <v/>
      </c>
      <c r="AD20" s="110" t="str">
        <f>data!OA36</f>
        <v/>
      </c>
      <c r="AE20" s="110" t="str">
        <f>data!OB36</f>
        <v/>
      </c>
      <c r="AF20" s="110" t="str">
        <f>data!OC36</f>
        <v/>
      </c>
      <c r="AG20" s="110" t="str">
        <f>data!OD36</f>
        <v/>
      </c>
      <c r="AH20" s="110" t="str">
        <f>data!OE36</f>
        <v/>
      </c>
      <c r="AI20" s="110" t="str">
        <f>data!OF36</f>
        <v/>
      </c>
      <c r="AJ20" s="110" t="str">
        <f>data!OG36</f>
        <v/>
      </c>
      <c r="AK20" s="110" t="str">
        <f>data!OH36</f>
        <v/>
      </c>
      <c r="AL20" s="111" t="str">
        <f>data!OI36</f>
        <v/>
      </c>
      <c r="AR20" s="24"/>
    </row>
    <row r="21" spans="1:44" ht="15.75" customHeight="1" x14ac:dyDescent="0.15">
      <c r="A21" s="120" t="str">
        <f>data!$NA$37</f>
        <v/>
      </c>
      <c r="B21" s="121" t="str">
        <f>data!$NB$37</f>
        <v/>
      </c>
      <c r="C21" s="49" t="str">
        <f>data!NC37</f>
        <v/>
      </c>
      <c r="D21" s="13" t="str">
        <f>data!ND37</f>
        <v/>
      </c>
      <c r="E21" s="5" t="str">
        <f>data!NE37</f>
        <v/>
      </c>
      <c r="F21" s="13" t="str">
        <f>data!NF37</f>
        <v/>
      </c>
      <c r="G21" s="653"/>
      <c r="H21" s="6" t="str">
        <f>data!NH37</f>
        <v/>
      </c>
      <c r="I21" s="6" t="str">
        <f>data!NI37</f>
        <v/>
      </c>
      <c r="J21" s="58" t="str">
        <f>data!NJ37</f>
        <v/>
      </c>
      <c r="K21" s="126" t="str">
        <f>data!NK37</f>
        <v/>
      </c>
      <c r="L21" s="126" t="str">
        <f>data!NL37</f>
        <v/>
      </c>
      <c r="M21" s="61" t="str">
        <f>data!NM37</f>
        <v/>
      </c>
      <c r="N21" s="62" t="str">
        <f>data!NN37</f>
        <v/>
      </c>
      <c r="P21" s="122" t="str">
        <f>data!$NA$37</f>
        <v/>
      </c>
      <c r="Q21" s="123" t="str">
        <f>data!$NB$37</f>
        <v/>
      </c>
      <c r="R21" s="109" t="str">
        <f>data!NO37</f>
        <v/>
      </c>
      <c r="S21" s="110" t="str">
        <f>data!NP37</f>
        <v/>
      </c>
      <c r="T21" s="110" t="str">
        <f>data!NQ37</f>
        <v/>
      </c>
      <c r="U21" s="110" t="str">
        <f>data!NR37</f>
        <v/>
      </c>
      <c r="V21" s="110" t="str">
        <f>data!NS37</f>
        <v/>
      </c>
      <c r="W21" s="110" t="str">
        <f>data!NT37</f>
        <v/>
      </c>
      <c r="X21" s="110" t="str">
        <f>data!NU37</f>
        <v/>
      </c>
      <c r="Y21" s="110" t="str">
        <f>data!NV37</f>
        <v/>
      </c>
      <c r="Z21" s="110" t="str">
        <f>data!NW37</f>
        <v/>
      </c>
      <c r="AA21" s="110" t="str">
        <f>data!NX37</f>
        <v/>
      </c>
      <c r="AB21" s="110" t="str">
        <f>data!NY37</f>
        <v/>
      </c>
      <c r="AC21" s="110" t="str">
        <f>data!NZ37</f>
        <v/>
      </c>
      <c r="AD21" s="110" t="str">
        <f>data!OA37</f>
        <v/>
      </c>
      <c r="AE21" s="110" t="str">
        <f>data!OB37</f>
        <v/>
      </c>
      <c r="AF21" s="110" t="str">
        <f>data!OC37</f>
        <v/>
      </c>
      <c r="AG21" s="110" t="str">
        <f>data!OD37</f>
        <v/>
      </c>
      <c r="AH21" s="110" t="str">
        <f>data!OE37</f>
        <v/>
      </c>
      <c r="AI21" s="110" t="str">
        <f>data!OF37</f>
        <v/>
      </c>
      <c r="AJ21" s="110" t="str">
        <f>data!OG37</f>
        <v/>
      </c>
      <c r="AK21" s="110" t="str">
        <f>data!OH37</f>
        <v/>
      </c>
      <c r="AL21" s="111" t="str">
        <f>data!OI37</f>
        <v/>
      </c>
      <c r="AR21" s="24"/>
    </row>
    <row r="22" spans="1:44" ht="15.75" customHeight="1" x14ac:dyDescent="0.15">
      <c r="A22" s="120" t="str">
        <f>data!$NA$38</f>
        <v/>
      </c>
      <c r="B22" s="121" t="str">
        <f>data!$NB$38</f>
        <v/>
      </c>
      <c r="C22" s="49" t="str">
        <f>data!NC38</f>
        <v/>
      </c>
      <c r="D22" s="13" t="str">
        <f>data!ND38</f>
        <v/>
      </c>
      <c r="E22" s="5" t="str">
        <f>data!NE38</f>
        <v/>
      </c>
      <c r="F22" s="13" t="str">
        <f>data!NF38</f>
        <v/>
      </c>
      <c r="G22" s="653"/>
      <c r="H22" s="6" t="str">
        <f>data!NH38</f>
        <v/>
      </c>
      <c r="I22" s="6" t="str">
        <f>data!NI38</f>
        <v/>
      </c>
      <c r="J22" s="58" t="str">
        <f>data!NJ38</f>
        <v/>
      </c>
      <c r="K22" s="126" t="str">
        <f>data!NK38</f>
        <v/>
      </c>
      <c r="L22" s="126" t="str">
        <f>data!NL38</f>
        <v/>
      </c>
      <c r="M22" s="61" t="str">
        <f>data!NM38</f>
        <v/>
      </c>
      <c r="N22" s="62" t="str">
        <f>data!NN38</f>
        <v/>
      </c>
      <c r="P22" s="122" t="str">
        <f>data!$NA$38</f>
        <v/>
      </c>
      <c r="Q22" s="123" t="str">
        <f>data!$NB$38</f>
        <v/>
      </c>
      <c r="R22" s="109" t="str">
        <f>data!NO38</f>
        <v/>
      </c>
      <c r="S22" s="110" t="str">
        <f>data!NP38</f>
        <v/>
      </c>
      <c r="T22" s="110" t="str">
        <f>data!NQ38</f>
        <v/>
      </c>
      <c r="U22" s="110" t="str">
        <f>data!NR38</f>
        <v/>
      </c>
      <c r="V22" s="110" t="str">
        <f>data!NS38</f>
        <v/>
      </c>
      <c r="W22" s="110" t="str">
        <f>data!NT38</f>
        <v/>
      </c>
      <c r="X22" s="110" t="str">
        <f>data!NU38</f>
        <v/>
      </c>
      <c r="Y22" s="110" t="str">
        <f>data!NV38</f>
        <v/>
      </c>
      <c r="Z22" s="110" t="str">
        <f>data!NW38</f>
        <v/>
      </c>
      <c r="AA22" s="110" t="str">
        <f>data!NX38</f>
        <v/>
      </c>
      <c r="AB22" s="110" t="str">
        <f>data!NY38</f>
        <v/>
      </c>
      <c r="AC22" s="110" t="str">
        <f>data!NZ38</f>
        <v/>
      </c>
      <c r="AD22" s="110" t="str">
        <f>data!OA38</f>
        <v/>
      </c>
      <c r="AE22" s="110" t="str">
        <f>data!OB38</f>
        <v/>
      </c>
      <c r="AF22" s="110" t="str">
        <f>data!OC38</f>
        <v/>
      </c>
      <c r="AG22" s="110" t="str">
        <f>data!OD38</f>
        <v/>
      </c>
      <c r="AH22" s="110" t="str">
        <f>data!OE38</f>
        <v/>
      </c>
      <c r="AI22" s="110" t="str">
        <f>data!OF38</f>
        <v/>
      </c>
      <c r="AJ22" s="110" t="str">
        <f>data!OG38</f>
        <v/>
      </c>
      <c r="AK22" s="110" t="str">
        <f>data!OH38</f>
        <v/>
      </c>
      <c r="AL22" s="111" t="str">
        <f>data!OI38</f>
        <v/>
      </c>
      <c r="AR22" s="24"/>
    </row>
    <row r="23" spans="1:44" ht="15.75" customHeight="1" x14ac:dyDescent="0.15">
      <c r="A23" s="120" t="str">
        <f>data!$NA$39</f>
        <v/>
      </c>
      <c r="B23" s="121" t="str">
        <f>data!$NB$39</f>
        <v/>
      </c>
      <c r="C23" s="49" t="str">
        <f>data!NC39</f>
        <v/>
      </c>
      <c r="D23" s="13" t="str">
        <f>data!ND39</f>
        <v/>
      </c>
      <c r="E23" s="5" t="str">
        <f>data!NE39</f>
        <v/>
      </c>
      <c r="F23" s="13" t="str">
        <f>data!NF39</f>
        <v/>
      </c>
      <c r="G23" s="653"/>
      <c r="H23" s="6" t="str">
        <f>data!NH39</f>
        <v/>
      </c>
      <c r="I23" s="6" t="str">
        <f>data!NI39</f>
        <v/>
      </c>
      <c r="J23" s="58" t="str">
        <f>data!NJ39</f>
        <v/>
      </c>
      <c r="K23" s="126" t="str">
        <f>data!NK39</f>
        <v/>
      </c>
      <c r="L23" s="126" t="str">
        <f>data!NL39</f>
        <v/>
      </c>
      <c r="M23" s="61" t="str">
        <f>data!NM39</f>
        <v/>
      </c>
      <c r="N23" s="62" t="str">
        <f>data!NN39</f>
        <v/>
      </c>
      <c r="P23" s="122" t="str">
        <f>data!$NA$39</f>
        <v/>
      </c>
      <c r="Q23" s="123" t="str">
        <f>data!$NB$39</f>
        <v/>
      </c>
      <c r="R23" s="109" t="str">
        <f>data!NO39</f>
        <v/>
      </c>
      <c r="S23" s="110" t="str">
        <f>data!NP39</f>
        <v/>
      </c>
      <c r="T23" s="110" t="str">
        <f>data!NQ39</f>
        <v/>
      </c>
      <c r="U23" s="110" t="str">
        <f>data!NR39</f>
        <v/>
      </c>
      <c r="V23" s="110" t="str">
        <f>data!NS39</f>
        <v/>
      </c>
      <c r="W23" s="110" t="str">
        <f>data!NT39</f>
        <v/>
      </c>
      <c r="X23" s="110" t="str">
        <f>data!NU39</f>
        <v/>
      </c>
      <c r="Y23" s="110" t="str">
        <f>data!NV39</f>
        <v/>
      </c>
      <c r="Z23" s="110" t="str">
        <f>data!NW39</f>
        <v/>
      </c>
      <c r="AA23" s="110" t="str">
        <f>data!NX39</f>
        <v/>
      </c>
      <c r="AB23" s="110" t="str">
        <f>data!NY39</f>
        <v/>
      </c>
      <c r="AC23" s="110" t="str">
        <f>data!NZ39</f>
        <v/>
      </c>
      <c r="AD23" s="110" t="str">
        <f>data!OA39</f>
        <v/>
      </c>
      <c r="AE23" s="110" t="str">
        <f>data!OB39</f>
        <v/>
      </c>
      <c r="AF23" s="110" t="str">
        <f>data!OC39</f>
        <v/>
      </c>
      <c r="AG23" s="110" t="str">
        <f>data!OD39</f>
        <v/>
      </c>
      <c r="AH23" s="110" t="str">
        <f>data!OE39</f>
        <v/>
      </c>
      <c r="AI23" s="110" t="str">
        <f>data!OF39</f>
        <v/>
      </c>
      <c r="AJ23" s="110" t="str">
        <f>data!OG39</f>
        <v/>
      </c>
      <c r="AK23" s="110" t="str">
        <f>data!OH39</f>
        <v/>
      </c>
      <c r="AL23" s="111" t="str">
        <f>data!OI39</f>
        <v/>
      </c>
      <c r="AR23" s="24"/>
    </row>
    <row r="24" spans="1:44" ht="15.75" customHeight="1" x14ac:dyDescent="0.15">
      <c r="A24" s="120" t="str">
        <f>data!$NA$40</f>
        <v/>
      </c>
      <c r="B24" s="121" t="str">
        <f>data!$NB$40</f>
        <v/>
      </c>
      <c r="C24" s="49" t="str">
        <f>data!NC40</f>
        <v/>
      </c>
      <c r="D24" s="13" t="str">
        <f>data!ND40</f>
        <v/>
      </c>
      <c r="E24" s="5" t="str">
        <f>data!NE40</f>
        <v/>
      </c>
      <c r="F24" s="13" t="str">
        <f>data!NF40</f>
        <v/>
      </c>
      <c r="G24" s="653"/>
      <c r="H24" s="6" t="str">
        <f>data!NH40</f>
        <v/>
      </c>
      <c r="I24" s="6" t="str">
        <f>data!NI40</f>
        <v/>
      </c>
      <c r="J24" s="58" t="str">
        <f>data!NJ40</f>
        <v/>
      </c>
      <c r="K24" s="126" t="str">
        <f>data!NK40</f>
        <v/>
      </c>
      <c r="L24" s="126" t="str">
        <f>data!NL40</f>
        <v/>
      </c>
      <c r="M24" s="61" t="str">
        <f>data!NM40</f>
        <v/>
      </c>
      <c r="N24" s="62" t="str">
        <f>data!NN40</f>
        <v/>
      </c>
      <c r="P24" s="122" t="str">
        <f>data!$NA$40</f>
        <v/>
      </c>
      <c r="Q24" s="123" t="str">
        <f>data!$NB$40</f>
        <v/>
      </c>
      <c r="R24" s="109" t="str">
        <f>data!NO40</f>
        <v/>
      </c>
      <c r="S24" s="110" t="str">
        <f>data!NP40</f>
        <v/>
      </c>
      <c r="T24" s="110" t="str">
        <f>data!NQ40</f>
        <v/>
      </c>
      <c r="U24" s="110" t="str">
        <f>data!NR40</f>
        <v/>
      </c>
      <c r="V24" s="110" t="str">
        <f>data!NS40</f>
        <v/>
      </c>
      <c r="W24" s="110" t="str">
        <f>data!NT40</f>
        <v/>
      </c>
      <c r="X24" s="110" t="str">
        <f>data!NU40</f>
        <v/>
      </c>
      <c r="Y24" s="110" t="str">
        <f>data!NV40</f>
        <v/>
      </c>
      <c r="Z24" s="110" t="str">
        <f>data!NW40</f>
        <v/>
      </c>
      <c r="AA24" s="110" t="str">
        <f>data!NX40</f>
        <v/>
      </c>
      <c r="AB24" s="110" t="str">
        <f>data!NY40</f>
        <v/>
      </c>
      <c r="AC24" s="110" t="str">
        <f>data!NZ40</f>
        <v/>
      </c>
      <c r="AD24" s="110" t="str">
        <f>data!OA40</f>
        <v/>
      </c>
      <c r="AE24" s="110" t="str">
        <f>data!OB40</f>
        <v/>
      </c>
      <c r="AF24" s="110" t="str">
        <f>data!OC40</f>
        <v/>
      </c>
      <c r="AG24" s="110" t="str">
        <f>data!OD40</f>
        <v/>
      </c>
      <c r="AH24" s="110" t="str">
        <f>data!OE40</f>
        <v/>
      </c>
      <c r="AI24" s="110" t="str">
        <f>data!OF40</f>
        <v/>
      </c>
      <c r="AJ24" s="110" t="str">
        <f>data!OG40</f>
        <v/>
      </c>
      <c r="AK24" s="110" t="str">
        <f>data!OH40</f>
        <v/>
      </c>
      <c r="AL24" s="111" t="str">
        <f>data!OI40</f>
        <v/>
      </c>
      <c r="AR24" s="24"/>
    </row>
    <row r="25" spans="1:44" ht="15.75" customHeight="1" thickBot="1" x14ac:dyDescent="0.2">
      <c r="A25" s="127" t="str">
        <f>data!$NA$41</f>
        <v/>
      </c>
      <c r="B25" s="509" t="str">
        <f>data!$NB$41</f>
        <v/>
      </c>
      <c r="C25" s="128" t="str">
        <f>data!NC41</f>
        <v/>
      </c>
      <c r="D25" s="129" t="str">
        <f>data!ND41</f>
        <v/>
      </c>
      <c r="E25" s="39" t="str">
        <f>data!NE41</f>
        <v/>
      </c>
      <c r="F25" s="129" t="str">
        <f>data!NF41</f>
        <v/>
      </c>
      <c r="G25" s="653"/>
      <c r="H25" s="40" t="str">
        <f>data!NH41</f>
        <v/>
      </c>
      <c r="I25" s="40" t="str">
        <f>data!NI41</f>
        <v/>
      </c>
      <c r="J25" s="130" t="str">
        <f>data!NJ41</f>
        <v/>
      </c>
      <c r="K25" s="131" t="str">
        <f>data!NK41</f>
        <v/>
      </c>
      <c r="L25" s="131" t="str">
        <f>data!NL41</f>
        <v/>
      </c>
      <c r="M25" s="132" t="str">
        <f>data!NM41</f>
        <v/>
      </c>
      <c r="N25" s="133" t="str">
        <f>data!NN41</f>
        <v/>
      </c>
      <c r="P25" s="127" t="str">
        <f>data!$NA$41</f>
        <v/>
      </c>
      <c r="Q25" s="509" t="str">
        <f>data!$NB$41</f>
        <v/>
      </c>
      <c r="R25" s="112" t="str">
        <f>data!NO41</f>
        <v/>
      </c>
      <c r="S25" s="113" t="str">
        <f>data!NP41</f>
        <v/>
      </c>
      <c r="T25" s="113" t="str">
        <f>data!NQ41</f>
        <v/>
      </c>
      <c r="U25" s="113" t="str">
        <f>data!NR41</f>
        <v/>
      </c>
      <c r="V25" s="113" t="str">
        <f>data!NS41</f>
        <v/>
      </c>
      <c r="W25" s="113" t="str">
        <f>data!NT41</f>
        <v/>
      </c>
      <c r="X25" s="113" t="str">
        <f>data!NU41</f>
        <v/>
      </c>
      <c r="Y25" s="113" t="str">
        <f>data!NV41</f>
        <v/>
      </c>
      <c r="Z25" s="113" t="str">
        <f>data!NW41</f>
        <v/>
      </c>
      <c r="AA25" s="113" t="str">
        <f>data!NX41</f>
        <v/>
      </c>
      <c r="AB25" s="113" t="str">
        <f>data!NY41</f>
        <v/>
      </c>
      <c r="AC25" s="113" t="str">
        <f>data!NZ41</f>
        <v/>
      </c>
      <c r="AD25" s="113" t="str">
        <f>data!OA41</f>
        <v/>
      </c>
      <c r="AE25" s="113" t="str">
        <f>data!OB41</f>
        <v/>
      </c>
      <c r="AF25" s="113" t="str">
        <f>data!OC41</f>
        <v/>
      </c>
      <c r="AG25" s="113" t="str">
        <f>data!OD41</f>
        <v/>
      </c>
      <c r="AH25" s="113" t="str">
        <f>data!OE41</f>
        <v/>
      </c>
      <c r="AI25" s="113" t="str">
        <f>data!OF41</f>
        <v/>
      </c>
      <c r="AJ25" s="113" t="str">
        <f>data!OG41</f>
        <v/>
      </c>
      <c r="AK25" s="113" t="str">
        <f>data!OH41</f>
        <v/>
      </c>
      <c r="AL25" s="114" t="str">
        <f>data!OI41</f>
        <v/>
      </c>
      <c r="AR25" s="24"/>
    </row>
    <row r="26" spans="1:44" ht="15.75" customHeight="1" thickTop="1" thickBot="1" x14ac:dyDescent="0.2">
      <c r="A26" s="677" t="str">
        <f>data!$NB$42</f>
        <v/>
      </c>
      <c r="B26" s="678"/>
      <c r="C26" s="510" t="str">
        <f>data!NC42</f>
        <v/>
      </c>
      <c r="D26" s="511" t="str">
        <f>data!ND42</f>
        <v/>
      </c>
      <c r="E26" s="512" t="str">
        <f>data!NE42</f>
        <v/>
      </c>
      <c r="F26" s="511" t="str">
        <f>data!NF42</f>
        <v/>
      </c>
      <c r="G26" s="512" t="str">
        <f>data!NG42</f>
        <v/>
      </c>
      <c r="H26" s="513" t="str">
        <f>data!NH42</f>
        <v/>
      </c>
      <c r="I26" s="513" t="str">
        <f>data!NI42</f>
        <v/>
      </c>
      <c r="J26" s="514" t="str">
        <f>data!NJ42</f>
        <v/>
      </c>
      <c r="K26" s="514" t="str">
        <f>data!NK42</f>
        <v/>
      </c>
      <c r="L26" s="514" t="str">
        <f>data!NL42</f>
        <v/>
      </c>
      <c r="M26" s="515" t="str">
        <f>data!NM42</f>
        <v/>
      </c>
      <c r="N26" s="516" t="str">
        <f>data!NN42</f>
        <v/>
      </c>
      <c r="P26" s="677" t="str">
        <f>data!$NB$42</f>
        <v/>
      </c>
      <c r="Q26" s="678"/>
      <c r="R26" s="519" t="str">
        <f>data!NO42</f>
        <v/>
      </c>
      <c r="S26" s="520" t="str">
        <f>data!NP42</f>
        <v/>
      </c>
      <c r="T26" s="520" t="str">
        <f>data!NQ42</f>
        <v/>
      </c>
      <c r="U26" s="520" t="str">
        <f>data!NR42</f>
        <v/>
      </c>
      <c r="V26" s="520" t="str">
        <f>data!NS42</f>
        <v/>
      </c>
      <c r="W26" s="520" t="str">
        <f>data!NT42</f>
        <v/>
      </c>
      <c r="X26" s="520" t="str">
        <f>data!NU42</f>
        <v/>
      </c>
      <c r="Y26" s="520" t="str">
        <f>data!NV42</f>
        <v/>
      </c>
      <c r="Z26" s="520" t="str">
        <f>data!NW42</f>
        <v/>
      </c>
      <c r="AA26" s="520" t="str">
        <f>data!NX42</f>
        <v/>
      </c>
      <c r="AB26" s="520" t="str">
        <f>data!NY42</f>
        <v/>
      </c>
      <c r="AC26" s="520" t="str">
        <f>data!NZ42</f>
        <v/>
      </c>
      <c r="AD26" s="520" t="str">
        <f>data!OA42</f>
        <v/>
      </c>
      <c r="AE26" s="520" t="str">
        <f>data!OB42</f>
        <v/>
      </c>
      <c r="AF26" s="520" t="str">
        <f>data!OC42</f>
        <v/>
      </c>
      <c r="AG26" s="520" t="str">
        <f>data!OD42</f>
        <v/>
      </c>
      <c r="AH26" s="520" t="str">
        <f>data!OE42</f>
        <v/>
      </c>
      <c r="AI26" s="520" t="str">
        <f>data!OF42</f>
        <v/>
      </c>
      <c r="AJ26" s="520" t="str">
        <f>data!OG42</f>
        <v/>
      </c>
      <c r="AK26" s="520" t="str">
        <f>data!OH42</f>
        <v/>
      </c>
      <c r="AL26" s="521" t="str">
        <f>data!OI42</f>
        <v/>
      </c>
    </row>
    <row r="27" spans="1:44" ht="15.75" customHeight="1" thickBot="1" x14ac:dyDescent="0.2">
      <c r="L27" s="1"/>
      <c r="M27" s="1"/>
      <c r="N27" s="1"/>
      <c r="O27" s="1"/>
      <c r="P27" s="1"/>
      <c r="Q27" s="1"/>
      <c r="R27" s="11"/>
      <c r="V27" s="12"/>
      <c r="Y27" s="635" t="s">
        <v>1952</v>
      </c>
      <c r="AA27" s="12"/>
      <c r="AH27" s="15"/>
    </row>
    <row r="28" spans="1:44" ht="15.75" customHeight="1" x14ac:dyDescent="0.15">
      <c r="A28" s="673" t="str">
        <f>data!OJ25</f>
        <v>Busy</v>
      </c>
      <c r="B28" s="674"/>
      <c r="C28" s="647" t="str">
        <f>data!OJ28</f>
        <v>Floating-point operation pipeline A busy rate (%)</v>
      </c>
      <c r="D28" s="649" t="str">
        <f>data!OK28</f>
        <v>Floating-point operation pipeline B busy rate (%)</v>
      </c>
      <c r="E28" s="664" t="str">
        <f>data!OL28</f>
        <v>Integer operation pipeline A busy rate (%)</v>
      </c>
      <c r="F28" s="654" t="str">
        <f>data!OM28</f>
        <v>Integer operation pipeline B busy rate (%)</v>
      </c>
      <c r="G28" s="657" t="str">
        <f>data!ON28</f>
        <v>L1 busy rate (%)</v>
      </c>
      <c r="H28" s="657" t="str">
        <f>data!OO28</f>
        <v>L2 busy rate (%)</v>
      </c>
      <c r="I28" s="669" t="str">
        <f>data!OP28</f>
        <v>Memory busy rate (%)</v>
      </c>
      <c r="J28" s="664" t="str">
        <f>data!OQ28</f>
        <v>Address calculation operation pipeline A busy rate (%)</v>
      </c>
      <c r="K28" s="654" t="str">
        <f>data!OR28</f>
        <v>Address calculation operation pipeline B busy rate (%)</v>
      </c>
      <c r="L28" s="657" t="str">
        <f>data!OS28</f>
        <v>Floating-point pipeline A Active element rate (%)</v>
      </c>
      <c r="M28" s="657" t="str">
        <f>data!OT28</f>
        <v>Floating-point pipeline B Active element rate (%)</v>
      </c>
      <c r="N28" s="657" t="str">
        <f>data!OU28</f>
        <v>L1 pipeline 0 Active element rate (%)</v>
      </c>
      <c r="O28" s="657" t="str">
        <f>data!OV28</f>
        <v>L1 pipeline 1 Active element rate (%)</v>
      </c>
      <c r="P28" s="818" t="str">
        <f>data!OW28</f>
        <v>SFI(Store Fetch Interlock) rate</v>
      </c>
    </row>
    <row r="29" spans="1:44" ht="15.75" customHeight="1" x14ac:dyDescent="0.15">
      <c r="A29" s="675"/>
      <c r="B29" s="676"/>
      <c r="C29" s="648"/>
      <c r="D29" s="650"/>
      <c r="E29" s="665"/>
      <c r="F29" s="655"/>
      <c r="G29" s="658"/>
      <c r="H29" s="658"/>
      <c r="I29" s="670"/>
      <c r="J29" s="665"/>
      <c r="K29" s="655"/>
      <c r="L29" s="658"/>
      <c r="M29" s="658"/>
      <c r="N29" s="658"/>
      <c r="O29" s="658"/>
      <c r="P29" s="819"/>
    </row>
    <row r="30" spans="1:44" ht="15.75" customHeight="1" x14ac:dyDescent="0.15">
      <c r="A30" s="675"/>
      <c r="B30" s="676"/>
      <c r="C30" s="648"/>
      <c r="D30" s="650"/>
      <c r="E30" s="665"/>
      <c r="F30" s="655"/>
      <c r="G30" s="658"/>
      <c r="H30" s="658"/>
      <c r="I30" s="670"/>
      <c r="J30" s="665"/>
      <c r="K30" s="655"/>
      <c r="L30" s="658"/>
      <c r="M30" s="658"/>
      <c r="N30" s="658"/>
      <c r="O30" s="658"/>
      <c r="P30" s="819"/>
    </row>
    <row r="31" spans="1:44" ht="15.75" customHeight="1" x14ac:dyDescent="0.15">
      <c r="A31" s="675"/>
      <c r="B31" s="676"/>
      <c r="C31" s="648"/>
      <c r="D31" s="650"/>
      <c r="E31" s="665"/>
      <c r="F31" s="655"/>
      <c r="G31" s="658"/>
      <c r="H31" s="658"/>
      <c r="I31" s="670"/>
      <c r="J31" s="665"/>
      <c r="K31" s="655"/>
      <c r="L31" s="658"/>
      <c r="M31" s="658"/>
      <c r="N31" s="658"/>
      <c r="O31" s="658"/>
      <c r="P31" s="819"/>
    </row>
    <row r="32" spans="1:44" ht="15.75" customHeight="1" x14ac:dyDescent="0.15">
      <c r="A32" s="691"/>
      <c r="B32" s="693"/>
      <c r="C32" s="663"/>
      <c r="D32" s="651"/>
      <c r="E32" s="666"/>
      <c r="F32" s="667"/>
      <c r="G32" s="668"/>
      <c r="H32" s="668"/>
      <c r="I32" s="671"/>
      <c r="J32" s="665"/>
      <c r="K32" s="655"/>
      <c r="L32" s="658"/>
      <c r="M32" s="658"/>
      <c r="N32" s="658"/>
      <c r="O32" s="658"/>
      <c r="P32" s="819"/>
    </row>
    <row r="33" spans="1:21" ht="15.75" customHeight="1" thickBot="1" x14ac:dyDescent="0.2">
      <c r="A33" s="486" t="s">
        <v>1486</v>
      </c>
      <c r="B33" s="487" t="s">
        <v>1487</v>
      </c>
      <c r="C33" s="571"/>
      <c r="D33" s="572"/>
      <c r="E33" s="573"/>
      <c r="F33" s="573"/>
      <c r="G33" s="52"/>
      <c r="H33" s="16"/>
      <c r="I33" s="17"/>
      <c r="J33" s="679"/>
      <c r="K33" s="656"/>
      <c r="L33" s="659"/>
      <c r="M33" s="659"/>
      <c r="N33" s="659"/>
      <c r="O33" s="659"/>
      <c r="P33" s="820"/>
    </row>
    <row r="34" spans="1:21" ht="15.75" customHeight="1" thickBot="1" x14ac:dyDescent="0.2">
      <c r="A34" s="118" t="str">
        <f>data!$NA$30</f>
        <v/>
      </c>
      <c r="B34" s="119" t="str">
        <f>data!$NB$30</f>
        <v/>
      </c>
      <c r="C34" s="51" t="str">
        <f>data!OJ30</f>
        <v/>
      </c>
      <c r="D34" s="51" t="str">
        <f>data!OK30</f>
        <v/>
      </c>
      <c r="E34" s="51" t="str">
        <f>data!OL30</f>
        <v/>
      </c>
      <c r="F34" s="51" t="str">
        <f>data!OM30</f>
        <v/>
      </c>
      <c r="G34" s="53" t="str">
        <f>data!ON30</f>
        <v/>
      </c>
      <c r="H34" s="694" t="str">
        <f>data!OO42</f>
        <v/>
      </c>
      <c r="I34" s="694" t="str">
        <f>data!OP42</f>
        <v/>
      </c>
      <c r="J34" s="51" t="str">
        <f>data!OQ30</f>
        <v/>
      </c>
      <c r="K34" s="51" t="str">
        <f>data!OR30</f>
        <v/>
      </c>
      <c r="L34" s="141" t="str">
        <f>data!OS30</f>
        <v/>
      </c>
      <c r="M34" s="141" t="str">
        <f>data!OT30</f>
        <v/>
      </c>
      <c r="N34" s="93" t="str">
        <f>data!OU30</f>
        <v/>
      </c>
      <c r="O34" s="93" t="str">
        <f>data!OV30</f>
        <v/>
      </c>
      <c r="P34" s="612" t="str">
        <f>data!OW30</f>
        <v/>
      </c>
    </row>
    <row r="35" spans="1:21" ht="15.75" customHeight="1" thickBot="1" x14ac:dyDescent="0.2">
      <c r="A35" s="120" t="str">
        <f>data!$NA$31</f>
        <v/>
      </c>
      <c r="B35" s="121" t="str">
        <f>data!$NB$31</f>
        <v/>
      </c>
      <c r="C35" s="4" t="str">
        <f>data!OJ31</f>
        <v/>
      </c>
      <c r="D35" s="4" t="str">
        <f>data!OK31</f>
        <v/>
      </c>
      <c r="E35" s="4" t="str">
        <f>data!OL31</f>
        <v/>
      </c>
      <c r="F35" s="4" t="str">
        <f>data!OM31</f>
        <v/>
      </c>
      <c r="G35" s="4" t="str">
        <f>data!ON31</f>
        <v/>
      </c>
      <c r="H35" s="694"/>
      <c r="I35" s="694"/>
      <c r="J35" s="4" t="str">
        <f>data!OQ31</f>
        <v/>
      </c>
      <c r="K35" s="4" t="str">
        <f>data!OR31</f>
        <v/>
      </c>
      <c r="L35" s="5" t="str">
        <f>data!OS31</f>
        <v/>
      </c>
      <c r="M35" s="5" t="str">
        <f>data!OT31</f>
        <v/>
      </c>
      <c r="N35" s="54" t="str">
        <f>data!OU31</f>
        <v/>
      </c>
      <c r="O35" s="54" t="str">
        <f>data!OV31</f>
        <v/>
      </c>
      <c r="P35" s="613" t="str">
        <f>data!OW31</f>
        <v/>
      </c>
    </row>
    <row r="36" spans="1:21" ht="15.75" customHeight="1" thickBot="1" x14ac:dyDescent="0.2">
      <c r="A36" s="120" t="str">
        <f>data!$NA$32</f>
        <v/>
      </c>
      <c r="B36" s="121" t="str">
        <f>data!$NB$32</f>
        <v/>
      </c>
      <c r="C36" s="4" t="str">
        <f>data!OJ32</f>
        <v/>
      </c>
      <c r="D36" s="4" t="str">
        <f>data!OK32</f>
        <v/>
      </c>
      <c r="E36" s="4" t="str">
        <f>data!OL32</f>
        <v/>
      </c>
      <c r="F36" s="4" t="str">
        <f>data!OM32</f>
        <v/>
      </c>
      <c r="G36" s="4" t="str">
        <f>data!ON32</f>
        <v/>
      </c>
      <c r="H36" s="694"/>
      <c r="I36" s="694"/>
      <c r="J36" s="4" t="str">
        <f>data!OQ32</f>
        <v/>
      </c>
      <c r="K36" s="4" t="str">
        <f>data!OR32</f>
        <v/>
      </c>
      <c r="L36" s="5" t="str">
        <f>data!OS32</f>
        <v/>
      </c>
      <c r="M36" s="5" t="str">
        <f>data!OT32</f>
        <v/>
      </c>
      <c r="N36" s="54" t="str">
        <f>data!OU32</f>
        <v/>
      </c>
      <c r="O36" s="54" t="str">
        <f>data!OV32</f>
        <v/>
      </c>
      <c r="P36" s="613" t="str">
        <f>data!OW32</f>
        <v/>
      </c>
      <c r="U36" s="12"/>
    </row>
    <row r="37" spans="1:21" ht="15.75" customHeight="1" thickBot="1" x14ac:dyDescent="0.2">
      <c r="A37" s="120" t="str">
        <f>data!$NA$33</f>
        <v/>
      </c>
      <c r="B37" s="121" t="str">
        <f>data!$NB$33</f>
        <v/>
      </c>
      <c r="C37" s="4" t="str">
        <f>data!OJ33</f>
        <v/>
      </c>
      <c r="D37" s="4" t="str">
        <f>data!OK33</f>
        <v/>
      </c>
      <c r="E37" s="4" t="str">
        <f>data!OL33</f>
        <v/>
      </c>
      <c r="F37" s="4" t="str">
        <f>data!OM33</f>
        <v/>
      </c>
      <c r="G37" s="4" t="str">
        <f>data!ON33</f>
        <v/>
      </c>
      <c r="H37" s="694"/>
      <c r="I37" s="694"/>
      <c r="J37" s="4" t="str">
        <f>data!OQ33</f>
        <v/>
      </c>
      <c r="K37" s="4" t="str">
        <f>data!OR33</f>
        <v/>
      </c>
      <c r="L37" s="5" t="str">
        <f>data!OS33</f>
        <v/>
      </c>
      <c r="M37" s="5" t="str">
        <f>data!OT33</f>
        <v/>
      </c>
      <c r="N37" s="54" t="str">
        <f>data!OU33</f>
        <v/>
      </c>
      <c r="O37" s="54" t="str">
        <f>data!OV33</f>
        <v/>
      </c>
      <c r="P37" s="613" t="str">
        <f>data!OW33</f>
        <v/>
      </c>
    </row>
    <row r="38" spans="1:21" ht="15.75" customHeight="1" thickBot="1" x14ac:dyDescent="0.2">
      <c r="A38" s="120" t="str">
        <f>data!$NA$34</f>
        <v/>
      </c>
      <c r="B38" s="121" t="str">
        <f>data!$NB$34</f>
        <v/>
      </c>
      <c r="C38" s="4" t="str">
        <f>data!OJ34</f>
        <v/>
      </c>
      <c r="D38" s="4" t="str">
        <f>data!OK34</f>
        <v/>
      </c>
      <c r="E38" s="4" t="str">
        <f>data!OL34</f>
        <v/>
      </c>
      <c r="F38" s="4" t="str">
        <f>data!OM34</f>
        <v/>
      </c>
      <c r="G38" s="4" t="str">
        <f>data!ON34</f>
        <v/>
      </c>
      <c r="H38" s="694"/>
      <c r="I38" s="694"/>
      <c r="J38" s="4" t="str">
        <f>data!OQ34</f>
        <v/>
      </c>
      <c r="K38" s="4" t="str">
        <f>data!OR34</f>
        <v/>
      </c>
      <c r="L38" s="5" t="str">
        <f>data!OS34</f>
        <v/>
      </c>
      <c r="M38" s="5" t="str">
        <f>data!OT34</f>
        <v/>
      </c>
      <c r="N38" s="54" t="str">
        <f>data!OU34</f>
        <v/>
      </c>
      <c r="O38" s="54" t="str">
        <f>data!OV34</f>
        <v/>
      </c>
      <c r="P38" s="613" t="str">
        <f>data!OW34</f>
        <v/>
      </c>
    </row>
    <row r="39" spans="1:21" ht="15.75" customHeight="1" thickBot="1" x14ac:dyDescent="0.2">
      <c r="A39" s="120" t="str">
        <f>data!$NA$35</f>
        <v/>
      </c>
      <c r="B39" s="121" t="str">
        <f>data!$NB$35</f>
        <v/>
      </c>
      <c r="C39" s="4" t="str">
        <f>data!OJ35</f>
        <v/>
      </c>
      <c r="D39" s="4" t="str">
        <f>data!OK35</f>
        <v/>
      </c>
      <c r="E39" s="4" t="str">
        <f>data!OL35</f>
        <v/>
      </c>
      <c r="F39" s="4" t="str">
        <f>data!OM35</f>
        <v/>
      </c>
      <c r="G39" s="4" t="str">
        <f>data!ON35</f>
        <v/>
      </c>
      <c r="H39" s="694"/>
      <c r="I39" s="694"/>
      <c r="J39" s="4" t="str">
        <f>data!OQ35</f>
        <v/>
      </c>
      <c r="K39" s="4" t="str">
        <f>data!OR35</f>
        <v/>
      </c>
      <c r="L39" s="5" t="str">
        <f>data!OS35</f>
        <v/>
      </c>
      <c r="M39" s="5" t="str">
        <f>data!OT35</f>
        <v/>
      </c>
      <c r="N39" s="54" t="str">
        <f>data!OU35</f>
        <v/>
      </c>
      <c r="O39" s="54" t="str">
        <f>data!OV35</f>
        <v/>
      </c>
      <c r="P39" s="613" t="str">
        <f>data!OW35</f>
        <v/>
      </c>
    </row>
    <row r="40" spans="1:21" ht="15.75" customHeight="1" thickBot="1" x14ac:dyDescent="0.2">
      <c r="A40" s="120" t="str">
        <f>data!$NA$36</f>
        <v/>
      </c>
      <c r="B40" s="121" t="str">
        <f>data!$NB$36</f>
        <v/>
      </c>
      <c r="C40" s="4" t="str">
        <f>data!OJ36</f>
        <v/>
      </c>
      <c r="D40" s="4" t="str">
        <f>data!OK36</f>
        <v/>
      </c>
      <c r="E40" s="4" t="str">
        <f>data!OL36</f>
        <v/>
      </c>
      <c r="F40" s="4" t="str">
        <f>data!OM36</f>
        <v/>
      </c>
      <c r="G40" s="4" t="str">
        <f>data!ON36</f>
        <v/>
      </c>
      <c r="H40" s="694"/>
      <c r="I40" s="694"/>
      <c r="J40" s="4" t="str">
        <f>data!OQ36</f>
        <v/>
      </c>
      <c r="K40" s="4" t="str">
        <f>data!OR36</f>
        <v/>
      </c>
      <c r="L40" s="5" t="str">
        <f>data!OS36</f>
        <v/>
      </c>
      <c r="M40" s="5" t="str">
        <f>data!OT36</f>
        <v/>
      </c>
      <c r="N40" s="54" t="str">
        <f>data!OU36</f>
        <v/>
      </c>
      <c r="O40" s="54" t="str">
        <f>data!OV36</f>
        <v/>
      </c>
      <c r="P40" s="613" t="str">
        <f>data!OW36</f>
        <v/>
      </c>
    </row>
    <row r="41" spans="1:21" ht="15.75" customHeight="1" thickBot="1" x14ac:dyDescent="0.2">
      <c r="A41" s="120" t="str">
        <f>data!$NA$37</f>
        <v/>
      </c>
      <c r="B41" s="121" t="str">
        <f>data!$NB$37</f>
        <v/>
      </c>
      <c r="C41" s="4" t="str">
        <f>data!OJ37</f>
        <v/>
      </c>
      <c r="D41" s="4" t="str">
        <f>data!OK37</f>
        <v/>
      </c>
      <c r="E41" s="4" t="str">
        <f>data!OL37</f>
        <v/>
      </c>
      <c r="F41" s="4" t="str">
        <f>data!OM37</f>
        <v/>
      </c>
      <c r="G41" s="4" t="str">
        <f>data!ON37</f>
        <v/>
      </c>
      <c r="H41" s="694"/>
      <c r="I41" s="694"/>
      <c r="J41" s="4" t="str">
        <f>data!OQ37</f>
        <v/>
      </c>
      <c r="K41" s="4" t="str">
        <f>data!OR37</f>
        <v/>
      </c>
      <c r="L41" s="5" t="str">
        <f>data!OS37</f>
        <v/>
      </c>
      <c r="M41" s="5" t="str">
        <f>data!OT37</f>
        <v/>
      </c>
      <c r="N41" s="54" t="str">
        <f>data!OU37</f>
        <v/>
      </c>
      <c r="O41" s="54" t="str">
        <f>data!OV37</f>
        <v/>
      </c>
      <c r="P41" s="613" t="str">
        <f>data!OW37</f>
        <v/>
      </c>
    </row>
    <row r="42" spans="1:21" ht="15.75" customHeight="1" thickBot="1" x14ac:dyDescent="0.2">
      <c r="A42" s="120" t="str">
        <f>data!$NA$38</f>
        <v/>
      </c>
      <c r="B42" s="121" t="str">
        <f>data!$NB$38</f>
        <v/>
      </c>
      <c r="C42" s="4" t="str">
        <f>data!OJ38</f>
        <v/>
      </c>
      <c r="D42" s="4" t="str">
        <f>data!OK38</f>
        <v/>
      </c>
      <c r="E42" s="4" t="str">
        <f>data!OL38</f>
        <v/>
      </c>
      <c r="F42" s="4" t="str">
        <f>data!OM38</f>
        <v/>
      </c>
      <c r="G42" s="4" t="str">
        <f>data!ON38</f>
        <v/>
      </c>
      <c r="H42" s="694"/>
      <c r="I42" s="694"/>
      <c r="J42" s="4" t="str">
        <f>data!OQ38</f>
        <v/>
      </c>
      <c r="K42" s="4" t="str">
        <f>data!OR38</f>
        <v/>
      </c>
      <c r="L42" s="5" t="str">
        <f>data!OS38</f>
        <v/>
      </c>
      <c r="M42" s="5" t="str">
        <f>data!OT38</f>
        <v/>
      </c>
      <c r="N42" s="54" t="str">
        <f>data!OU38</f>
        <v/>
      </c>
      <c r="O42" s="54" t="str">
        <f>data!OV38</f>
        <v/>
      </c>
      <c r="P42" s="613" t="str">
        <f>data!OW38</f>
        <v/>
      </c>
    </row>
    <row r="43" spans="1:21" ht="15.75" customHeight="1" thickBot="1" x14ac:dyDescent="0.2">
      <c r="A43" s="120" t="str">
        <f>data!$NA$39</f>
        <v/>
      </c>
      <c r="B43" s="121" t="str">
        <f>data!$NB$39</f>
        <v/>
      </c>
      <c r="C43" s="4" t="str">
        <f>data!OJ39</f>
        <v/>
      </c>
      <c r="D43" s="4" t="str">
        <f>data!OK39</f>
        <v/>
      </c>
      <c r="E43" s="4" t="str">
        <f>data!OL39</f>
        <v/>
      </c>
      <c r="F43" s="4" t="str">
        <f>data!OM39</f>
        <v/>
      </c>
      <c r="G43" s="4" t="str">
        <f>data!ON39</f>
        <v/>
      </c>
      <c r="H43" s="694"/>
      <c r="I43" s="694"/>
      <c r="J43" s="4" t="str">
        <f>data!OQ39</f>
        <v/>
      </c>
      <c r="K43" s="4" t="str">
        <f>data!OR39</f>
        <v/>
      </c>
      <c r="L43" s="5" t="str">
        <f>data!OS39</f>
        <v/>
      </c>
      <c r="M43" s="5" t="str">
        <f>data!OT39</f>
        <v/>
      </c>
      <c r="N43" s="54" t="str">
        <f>data!OU39</f>
        <v/>
      </c>
      <c r="O43" s="54" t="str">
        <f>data!OV39</f>
        <v/>
      </c>
      <c r="P43" s="613" t="str">
        <f>data!OW39</f>
        <v/>
      </c>
    </row>
    <row r="44" spans="1:21" ht="15.75" customHeight="1" thickBot="1" x14ac:dyDescent="0.2">
      <c r="A44" s="120" t="str">
        <f>data!$NA$40</f>
        <v/>
      </c>
      <c r="B44" s="121" t="str">
        <f>data!$NB$40</f>
        <v/>
      </c>
      <c r="C44" s="4" t="str">
        <f>data!OJ40</f>
        <v/>
      </c>
      <c r="D44" s="4" t="str">
        <f>data!OK40</f>
        <v/>
      </c>
      <c r="E44" s="4" t="str">
        <f>data!OL40</f>
        <v/>
      </c>
      <c r="F44" s="4" t="str">
        <f>data!OM40</f>
        <v/>
      </c>
      <c r="G44" s="4" t="str">
        <f>data!ON40</f>
        <v/>
      </c>
      <c r="H44" s="694"/>
      <c r="I44" s="694"/>
      <c r="J44" s="4" t="str">
        <f>data!OQ40</f>
        <v/>
      </c>
      <c r="K44" s="4" t="str">
        <f>data!OR40</f>
        <v/>
      </c>
      <c r="L44" s="5" t="str">
        <f>data!OS40</f>
        <v/>
      </c>
      <c r="M44" s="5" t="str">
        <f>data!OT40</f>
        <v/>
      </c>
      <c r="N44" s="54" t="str">
        <f>data!OU40</f>
        <v/>
      </c>
      <c r="O44" s="54" t="str">
        <f>data!OV40</f>
        <v/>
      </c>
      <c r="P44" s="613" t="str">
        <f>data!OW40</f>
        <v/>
      </c>
    </row>
    <row r="45" spans="1:21" ht="15.75" customHeight="1" thickBot="1" x14ac:dyDescent="0.2">
      <c r="A45" s="127" t="str">
        <f>data!$NA$41</f>
        <v/>
      </c>
      <c r="B45" s="509" t="str">
        <f>data!$NB$41</f>
        <v/>
      </c>
      <c r="C45" s="38" t="str">
        <f>data!OJ41</f>
        <v/>
      </c>
      <c r="D45" s="38" t="str">
        <f>data!OK41</f>
        <v/>
      </c>
      <c r="E45" s="38" t="str">
        <f>data!OL41</f>
        <v/>
      </c>
      <c r="F45" s="38" t="str">
        <f>data!OM41</f>
        <v/>
      </c>
      <c r="G45" s="38" t="str">
        <f>data!ON41</f>
        <v/>
      </c>
      <c r="H45" s="695"/>
      <c r="I45" s="695"/>
      <c r="J45" s="38" t="str">
        <f>data!OQ41</f>
        <v/>
      </c>
      <c r="K45" s="38" t="str">
        <f>data!OR41</f>
        <v/>
      </c>
      <c r="L45" s="541" t="str">
        <f>data!OS41</f>
        <v/>
      </c>
      <c r="M45" s="541" t="str">
        <f>data!OT41</f>
        <v/>
      </c>
      <c r="N45" s="542" t="str">
        <f>data!OU41</f>
        <v/>
      </c>
      <c r="O45" s="543" t="str">
        <f>data!OV41</f>
        <v/>
      </c>
      <c r="P45" s="614" t="str">
        <f>data!OW41</f>
        <v/>
      </c>
    </row>
    <row r="46" spans="1:21" ht="15.75" customHeight="1" thickTop="1" thickBot="1" x14ac:dyDescent="0.2">
      <c r="A46" s="677" t="str">
        <f>data!$NB$42</f>
        <v/>
      </c>
      <c r="B46" s="678"/>
      <c r="C46" s="517" t="str">
        <f>data!OJ42</f>
        <v/>
      </c>
      <c r="D46" s="517" t="str">
        <f>data!OK42</f>
        <v/>
      </c>
      <c r="E46" s="517" t="str">
        <f>data!OL42</f>
        <v/>
      </c>
      <c r="F46" s="517" t="str">
        <f>data!OM42</f>
        <v/>
      </c>
      <c r="G46" s="518" t="str">
        <f>data!ON42</f>
        <v/>
      </c>
      <c r="H46" s="512" t="str">
        <f>data!OO42</f>
        <v/>
      </c>
      <c r="I46" s="512" t="str">
        <f>data!OP42</f>
        <v/>
      </c>
      <c r="J46" s="517" t="str">
        <f>data!OQ42</f>
        <v/>
      </c>
      <c r="K46" s="517" t="str">
        <f>data!OR42</f>
        <v/>
      </c>
      <c r="L46" s="544" t="str">
        <f>data!OS42</f>
        <v/>
      </c>
      <c r="M46" s="544" t="str">
        <f>data!OT42</f>
        <v/>
      </c>
      <c r="N46" s="545" t="str">
        <f>data!OU42</f>
        <v/>
      </c>
      <c r="O46" s="545" t="str">
        <f>data!OV42</f>
        <v/>
      </c>
      <c r="P46" s="533" t="str">
        <f>data!OW42</f>
        <v/>
      </c>
    </row>
    <row r="47" spans="1:21" ht="15.75" customHeight="1" thickBot="1" x14ac:dyDescent="0.2"/>
    <row r="48" spans="1:21" ht="15.75" customHeight="1" x14ac:dyDescent="0.15">
      <c r="A48" s="673" t="str">
        <f>data!OX25</f>
        <v>Cache</v>
      </c>
      <c r="B48" s="689"/>
      <c r="C48" s="696" t="str">
        <f>data!OX28</f>
        <v>L1I miss rate (/Effective instruction)</v>
      </c>
      <c r="D48" s="657" t="str">
        <f>data!OY28</f>
        <v>Load-store instruction</v>
      </c>
      <c r="E48" s="657" t="str">
        <f>data!OZ28</f>
        <v>L1D miss</v>
      </c>
      <c r="F48" s="657" t="str">
        <f>data!PA28</f>
        <v>L1D miss rate (/Load-store instruction)</v>
      </c>
      <c r="G48" s="657" t="str">
        <f>data!PB28</f>
        <v>L1D miss demand rate (%) (/L1D miss)</v>
      </c>
      <c r="H48" s="657" t="str">
        <f>data!PC28</f>
        <v>L1D miss hardware prefetch rate (%) (/L1D miss)</v>
      </c>
      <c r="I48" s="657" t="str">
        <f>data!PD28</f>
        <v>L1D miss software prefetch rate (%) (/L1D miss)</v>
      </c>
      <c r="J48" s="657" t="str">
        <f>data!PE28</f>
        <v>L2 miss</v>
      </c>
      <c r="K48" s="657" t="str">
        <f>data!PF28</f>
        <v>L2 miss rate (/Load-store instruction)</v>
      </c>
      <c r="L48" s="825" t="str">
        <f>data!PG28</f>
        <v>L2 miss demand rate (%) (/L2 miss)</v>
      </c>
      <c r="M48" s="825" t="str">
        <f>data!PH28</f>
        <v>L2 miss hardware prefetch rate (%) (/L2 miss)</v>
      </c>
      <c r="N48" s="825" t="str">
        <f>data!PI28</f>
        <v>L2 miss software prefetch rate (%) (/L2 miss)</v>
      </c>
      <c r="O48" s="657" t="str">
        <f>data!PJ28</f>
        <v>L1D TLB miss rate (/Load-store instruction)</v>
      </c>
      <c r="P48" s="813" t="str">
        <f>data!PK28</f>
        <v>L2D TLB miss rate (/Load-store instruction)</v>
      </c>
    </row>
    <row r="49" spans="1:21" ht="15.75" customHeight="1" x14ac:dyDescent="0.15">
      <c r="A49" s="675"/>
      <c r="B49" s="690"/>
      <c r="C49" s="697"/>
      <c r="D49" s="658"/>
      <c r="E49" s="658"/>
      <c r="F49" s="658"/>
      <c r="G49" s="658"/>
      <c r="H49" s="658"/>
      <c r="I49" s="658"/>
      <c r="J49" s="658"/>
      <c r="K49" s="658"/>
      <c r="L49" s="826"/>
      <c r="M49" s="826"/>
      <c r="N49" s="826"/>
      <c r="O49" s="658"/>
      <c r="P49" s="814"/>
    </row>
    <row r="50" spans="1:21" ht="15.75" customHeight="1" x14ac:dyDescent="0.15">
      <c r="A50" s="675"/>
      <c r="B50" s="690"/>
      <c r="C50" s="697"/>
      <c r="D50" s="658"/>
      <c r="E50" s="658"/>
      <c r="F50" s="658"/>
      <c r="G50" s="658"/>
      <c r="H50" s="658"/>
      <c r="I50" s="658"/>
      <c r="J50" s="658"/>
      <c r="K50" s="658"/>
      <c r="L50" s="826"/>
      <c r="M50" s="826"/>
      <c r="N50" s="826"/>
      <c r="O50" s="658"/>
      <c r="P50" s="814"/>
    </row>
    <row r="51" spans="1:21" ht="15.75" customHeight="1" x14ac:dyDescent="0.15">
      <c r="A51" s="675"/>
      <c r="B51" s="690"/>
      <c r="C51" s="697"/>
      <c r="D51" s="658"/>
      <c r="E51" s="658"/>
      <c r="F51" s="658"/>
      <c r="G51" s="658"/>
      <c r="H51" s="658"/>
      <c r="I51" s="658"/>
      <c r="J51" s="658"/>
      <c r="K51" s="658"/>
      <c r="L51" s="826"/>
      <c r="M51" s="826"/>
      <c r="N51" s="826"/>
      <c r="O51" s="658"/>
      <c r="P51" s="814"/>
      <c r="U51" s="11"/>
    </row>
    <row r="52" spans="1:21" ht="15.75" customHeight="1" x14ac:dyDescent="0.15">
      <c r="A52" s="675"/>
      <c r="B52" s="690"/>
      <c r="C52" s="697"/>
      <c r="D52" s="658"/>
      <c r="E52" s="658"/>
      <c r="F52" s="658"/>
      <c r="G52" s="658"/>
      <c r="H52" s="658"/>
      <c r="I52" s="658"/>
      <c r="J52" s="658"/>
      <c r="K52" s="658"/>
      <c r="L52" s="826"/>
      <c r="M52" s="826"/>
      <c r="N52" s="826"/>
      <c r="O52" s="658"/>
      <c r="P52" s="814"/>
    </row>
    <row r="53" spans="1:21" ht="15.75" customHeight="1" x14ac:dyDescent="0.15">
      <c r="A53" s="691"/>
      <c r="B53" s="692"/>
      <c r="C53" s="697"/>
      <c r="D53" s="658"/>
      <c r="E53" s="658"/>
      <c r="F53" s="658"/>
      <c r="G53" s="668"/>
      <c r="H53" s="668"/>
      <c r="I53" s="668"/>
      <c r="J53" s="658"/>
      <c r="K53" s="658"/>
      <c r="L53" s="827"/>
      <c r="M53" s="827"/>
      <c r="N53" s="827"/>
      <c r="O53" s="658"/>
      <c r="P53" s="814"/>
    </row>
    <row r="54" spans="1:21" ht="15.75" customHeight="1" thickBot="1" x14ac:dyDescent="0.2">
      <c r="A54" s="486" t="s">
        <v>1486</v>
      </c>
      <c r="B54" s="487" t="s">
        <v>1487</v>
      </c>
      <c r="C54" s="28"/>
      <c r="D54" s="29"/>
      <c r="E54" s="29"/>
      <c r="F54" s="29"/>
      <c r="G54" s="30"/>
      <c r="H54" s="31"/>
      <c r="I54" s="32"/>
      <c r="J54" s="29"/>
      <c r="K54" s="29"/>
      <c r="L54" s="30"/>
      <c r="M54" s="31"/>
      <c r="N54" s="32"/>
      <c r="O54" s="29"/>
      <c r="P54" s="574"/>
    </row>
    <row r="55" spans="1:21" ht="15.75" customHeight="1" x14ac:dyDescent="0.15">
      <c r="A55" s="118" t="str">
        <f>data!$NA$30</f>
        <v/>
      </c>
      <c r="B55" s="119" t="str">
        <f>data!$NB$30</f>
        <v/>
      </c>
      <c r="C55" s="603" t="str">
        <f>data!OX30</f>
        <v/>
      </c>
      <c r="D55" s="6" t="str">
        <f>data!OY30</f>
        <v/>
      </c>
      <c r="E55" s="6" t="str">
        <f>data!OZ30</f>
        <v/>
      </c>
      <c r="F55" s="13" t="str">
        <f>data!PA30</f>
        <v/>
      </c>
      <c r="G55" s="5" t="str">
        <f>data!PB30</f>
        <v/>
      </c>
      <c r="H55" s="498" t="str">
        <f>data!PC30</f>
        <v/>
      </c>
      <c r="I55" s="498" t="str">
        <f>data!PD30</f>
        <v/>
      </c>
      <c r="J55" s="6" t="str">
        <f>data!PE30</f>
        <v/>
      </c>
      <c r="K55" s="13" t="str">
        <f>data!PF30</f>
        <v/>
      </c>
      <c r="L55" s="5" t="str">
        <f>data!PG30</f>
        <v/>
      </c>
      <c r="M55" s="498" t="str">
        <f>data!PH30</f>
        <v/>
      </c>
      <c r="N55" s="498" t="str">
        <f>data!PI30</f>
        <v/>
      </c>
      <c r="O55" s="606" t="str">
        <f>data!PJ30</f>
        <v/>
      </c>
      <c r="P55" s="607" t="str">
        <f>data!PK30</f>
        <v/>
      </c>
    </row>
    <row r="56" spans="1:21" ht="15.75" customHeight="1" x14ac:dyDescent="0.15">
      <c r="A56" s="122" t="str">
        <f>data!$NA$31</f>
        <v/>
      </c>
      <c r="B56" s="123" t="str">
        <f>data!$NB$31</f>
        <v/>
      </c>
      <c r="C56" s="603" t="str">
        <f>data!OX31</f>
        <v/>
      </c>
      <c r="D56" s="6" t="str">
        <f>data!OY31</f>
        <v/>
      </c>
      <c r="E56" s="6" t="str">
        <f>data!OZ31</f>
        <v/>
      </c>
      <c r="F56" s="13" t="str">
        <f>data!PA31</f>
        <v/>
      </c>
      <c r="G56" s="5" t="str">
        <f>data!PB31</f>
        <v/>
      </c>
      <c r="H56" s="498" t="str">
        <f>data!PC31</f>
        <v/>
      </c>
      <c r="I56" s="498" t="str">
        <f>data!PD31</f>
        <v/>
      </c>
      <c r="J56" s="6" t="str">
        <f>data!PE31</f>
        <v/>
      </c>
      <c r="K56" s="13" t="str">
        <f>data!PF31</f>
        <v/>
      </c>
      <c r="L56" s="5" t="str">
        <f>data!PG31</f>
        <v/>
      </c>
      <c r="M56" s="498" t="str">
        <f>data!PH31</f>
        <v/>
      </c>
      <c r="N56" s="498" t="str">
        <f>data!PI31</f>
        <v/>
      </c>
      <c r="O56" s="606" t="str">
        <f>data!PJ31</f>
        <v/>
      </c>
      <c r="P56" s="607" t="str">
        <f>data!PK31</f>
        <v/>
      </c>
    </row>
    <row r="57" spans="1:21" ht="15.75" customHeight="1" x14ac:dyDescent="0.15">
      <c r="A57" s="122" t="str">
        <f>data!$NA$32</f>
        <v/>
      </c>
      <c r="B57" s="123" t="str">
        <f>data!$NB$32</f>
        <v/>
      </c>
      <c r="C57" s="603" t="str">
        <f>data!OX32</f>
        <v/>
      </c>
      <c r="D57" s="6" t="str">
        <f>data!OY32</f>
        <v/>
      </c>
      <c r="E57" s="6" t="str">
        <f>data!OZ32</f>
        <v/>
      </c>
      <c r="F57" s="13" t="str">
        <f>data!PA32</f>
        <v/>
      </c>
      <c r="G57" s="5" t="str">
        <f>data!PB32</f>
        <v/>
      </c>
      <c r="H57" s="498" t="str">
        <f>data!PC32</f>
        <v/>
      </c>
      <c r="I57" s="498" t="str">
        <f>data!PD32</f>
        <v/>
      </c>
      <c r="J57" s="6" t="str">
        <f>data!PE32</f>
        <v/>
      </c>
      <c r="K57" s="13" t="str">
        <f>data!PF32</f>
        <v/>
      </c>
      <c r="L57" s="5" t="str">
        <f>data!PG32</f>
        <v/>
      </c>
      <c r="M57" s="498" t="str">
        <f>data!PH32</f>
        <v/>
      </c>
      <c r="N57" s="498" t="str">
        <f>data!PI32</f>
        <v/>
      </c>
      <c r="O57" s="606" t="str">
        <f>data!PJ32</f>
        <v/>
      </c>
      <c r="P57" s="607" t="str">
        <f>data!PK32</f>
        <v/>
      </c>
    </row>
    <row r="58" spans="1:21" ht="15.75" customHeight="1" x14ac:dyDescent="0.15">
      <c r="A58" s="122" t="str">
        <f>data!$NA$33</f>
        <v/>
      </c>
      <c r="B58" s="123" t="str">
        <f>data!$NB$33</f>
        <v/>
      </c>
      <c r="C58" s="603" t="str">
        <f>data!OX33</f>
        <v/>
      </c>
      <c r="D58" s="6" t="str">
        <f>data!OY33</f>
        <v/>
      </c>
      <c r="E58" s="6" t="str">
        <f>data!OZ33</f>
        <v/>
      </c>
      <c r="F58" s="13" t="str">
        <f>data!PA33</f>
        <v/>
      </c>
      <c r="G58" s="5" t="str">
        <f>data!PB33</f>
        <v/>
      </c>
      <c r="H58" s="498" t="str">
        <f>data!PC33</f>
        <v/>
      </c>
      <c r="I58" s="498" t="str">
        <f>data!PD33</f>
        <v/>
      </c>
      <c r="J58" s="6" t="str">
        <f>data!PE33</f>
        <v/>
      </c>
      <c r="K58" s="13" t="str">
        <f>data!PF33</f>
        <v/>
      </c>
      <c r="L58" s="5" t="str">
        <f>data!PG33</f>
        <v/>
      </c>
      <c r="M58" s="498" t="str">
        <f>data!PH33</f>
        <v/>
      </c>
      <c r="N58" s="498" t="str">
        <f>data!PI33</f>
        <v/>
      </c>
      <c r="O58" s="606" t="str">
        <f>data!PJ33</f>
        <v/>
      </c>
      <c r="P58" s="607" t="str">
        <f>data!PK33</f>
        <v/>
      </c>
    </row>
    <row r="59" spans="1:21" ht="15.75" customHeight="1" x14ac:dyDescent="0.25">
      <c r="A59" s="122" t="str">
        <f>data!$NA$34</f>
        <v/>
      </c>
      <c r="B59" s="123" t="str">
        <f>data!$NB$34</f>
        <v/>
      </c>
      <c r="C59" s="603" t="str">
        <f>data!OX34</f>
        <v/>
      </c>
      <c r="D59" s="6" t="str">
        <f>data!OY34</f>
        <v/>
      </c>
      <c r="E59" s="6" t="str">
        <f>data!OZ34</f>
        <v/>
      </c>
      <c r="F59" s="13" t="str">
        <f>data!PA34</f>
        <v/>
      </c>
      <c r="G59" s="5" t="str">
        <f>data!PB34</f>
        <v/>
      </c>
      <c r="H59" s="498" t="str">
        <f>data!PC34</f>
        <v/>
      </c>
      <c r="I59" s="498" t="str">
        <f>data!PD34</f>
        <v/>
      </c>
      <c r="J59" s="6" t="str">
        <f>data!PE34</f>
        <v/>
      </c>
      <c r="K59" s="13" t="str">
        <f>data!PF34</f>
        <v/>
      </c>
      <c r="L59" s="5" t="str">
        <f>data!PG34</f>
        <v/>
      </c>
      <c r="M59" s="498" t="str">
        <f>data!PH34</f>
        <v/>
      </c>
      <c r="N59" s="498" t="str">
        <f>data!PI34</f>
        <v/>
      </c>
      <c r="O59" s="606" t="str">
        <f>data!PJ34</f>
        <v/>
      </c>
      <c r="P59" s="607" t="str">
        <f>data!PK34</f>
        <v/>
      </c>
      <c r="U59" s="10"/>
    </row>
    <row r="60" spans="1:21" ht="15.75" customHeight="1" x14ac:dyDescent="0.15">
      <c r="A60" s="122" t="str">
        <f>data!$NA$35</f>
        <v/>
      </c>
      <c r="B60" s="123" t="str">
        <f>data!$NB$35</f>
        <v/>
      </c>
      <c r="C60" s="603" t="str">
        <f>data!OX35</f>
        <v/>
      </c>
      <c r="D60" s="6" t="str">
        <f>data!OY35</f>
        <v/>
      </c>
      <c r="E60" s="6" t="str">
        <f>data!OZ35</f>
        <v/>
      </c>
      <c r="F60" s="13" t="str">
        <f>data!PA35</f>
        <v/>
      </c>
      <c r="G60" s="5" t="str">
        <f>data!PB35</f>
        <v/>
      </c>
      <c r="H60" s="498" t="str">
        <f>data!PC35</f>
        <v/>
      </c>
      <c r="I60" s="498" t="str">
        <f>data!PD35</f>
        <v/>
      </c>
      <c r="J60" s="6" t="str">
        <f>data!PE35</f>
        <v/>
      </c>
      <c r="K60" s="13" t="str">
        <f>data!PF35</f>
        <v/>
      </c>
      <c r="L60" s="5" t="str">
        <f>data!PG35</f>
        <v/>
      </c>
      <c r="M60" s="498" t="str">
        <f>data!PH35</f>
        <v/>
      </c>
      <c r="N60" s="498" t="str">
        <f>data!PI35</f>
        <v/>
      </c>
      <c r="O60" s="606" t="str">
        <f>data!PJ35</f>
        <v/>
      </c>
      <c r="P60" s="607" t="str">
        <f>data!PK35</f>
        <v/>
      </c>
    </row>
    <row r="61" spans="1:21" ht="15.75" customHeight="1" x14ac:dyDescent="0.15">
      <c r="A61" s="122" t="str">
        <f>data!$NA$36</f>
        <v/>
      </c>
      <c r="B61" s="123" t="str">
        <f>data!$NB$36</f>
        <v/>
      </c>
      <c r="C61" s="603" t="str">
        <f>data!OX36</f>
        <v/>
      </c>
      <c r="D61" s="6" t="str">
        <f>data!OY36</f>
        <v/>
      </c>
      <c r="E61" s="6" t="str">
        <f>data!OZ36</f>
        <v/>
      </c>
      <c r="F61" s="13" t="str">
        <f>data!PA36</f>
        <v/>
      </c>
      <c r="G61" s="5" t="str">
        <f>data!PB36</f>
        <v/>
      </c>
      <c r="H61" s="498" t="str">
        <f>data!PC36</f>
        <v/>
      </c>
      <c r="I61" s="498" t="str">
        <f>data!PD36</f>
        <v/>
      </c>
      <c r="J61" s="6" t="str">
        <f>data!PE36</f>
        <v/>
      </c>
      <c r="K61" s="13" t="str">
        <f>data!PF36</f>
        <v/>
      </c>
      <c r="L61" s="5" t="str">
        <f>data!PG36</f>
        <v/>
      </c>
      <c r="M61" s="498" t="str">
        <f>data!PH36</f>
        <v/>
      </c>
      <c r="N61" s="498" t="str">
        <f>data!PI36</f>
        <v/>
      </c>
      <c r="O61" s="606" t="str">
        <f>data!PJ36</f>
        <v/>
      </c>
      <c r="P61" s="607" t="str">
        <f>data!PK36</f>
        <v/>
      </c>
    </row>
    <row r="62" spans="1:21" ht="15.75" customHeight="1" x14ac:dyDescent="0.15">
      <c r="A62" s="122" t="str">
        <f>data!$NA$37</f>
        <v/>
      </c>
      <c r="B62" s="123" t="str">
        <f>data!$NB$37</f>
        <v/>
      </c>
      <c r="C62" s="603" t="str">
        <f>data!OX37</f>
        <v/>
      </c>
      <c r="D62" s="6" t="str">
        <f>data!OY37</f>
        <v/>
      </c>
      <c r="E62" s="6" t="str">
        <f>data!OZ37</f>
        <v/>
      </c>
      <c r="F62" s="13" t="str">
        <f>data!PA37</f>
        <v/>
      </c>
      <c r="G62" s="5" t="str">
        <f>data!PB37</f>
        <v/>
      </c>
      <c r="H62" s="498" t="str">
        <f>data!PC37</f>
        <v/>
      </c>
      <c r="I62" s="498" t="str">
        <f>data!PD37</f>
        <v/>
      </c>
      <c r="J62" s="6" t="str">
        <f>data!PE37</f>
        <v/>
      </c>
      <c r="K62" s="13" t="str">
        <f>data!PF37</f>
        <v/>
      </c>
      <c r="L62" s="5" t="str">
        <f>data!PG37</f>
        <v/>
      </c>
      <c r="M62" s="498" t="str">
        <f>data!PH37</f>
        <v/>
      </c>
      <c r="N62" s="498" t="str">
        <f>data!PI37</f>
        <v/>
      </c>
      <c r="O62" s="606" t="str">
        <f>data!PJ37</f>
        <v/>
      </c>
      <c r="P62" s="607" t="str">
        <f>data!PK37</f>
        <v/>
      </c>
    </row>
    <row r="63" spans="1:21" ht="15.75" customHeight="1" x14ac:dyDescent="0.15">
      <c r="A63" s="122" t="str">
        <f>data!$NA$38</f>
        <v/>
      </c>
      <c r="B63" s="123" t="str">
        <f>data!$NB$38</f>
        <v/>
      </c>
      <c r="C63" s="603" t="str">
        <f>data!OX38</f>
        <v/>
      </c>
      <c r="D63" s="6" t="str">
        <f>data!OY38</f>
        <v/>
      </c>
      <c r="E63" s="6" t="str">
        <f>data!OZ38</f>
        <v/>
      </c>
      <c r="F63" s="13" t="str">
        <f>data!PA38</f>
        <v/>
      </c>
      <c r="G63" s="5" t="str">
        <f>data!PB38</f>
        <v/>
      </c>
      <c r="H63" s="498" t="str">
        <f>data!PC38</f>
        <v/>
      </c>
      <c r="I63" s="498" t="str">
        <f>data!PD38</f>
        <v/>
      </c>
      <c r="J63" s="6" t="str">
        <f>data!PE38</f>
        <v/>
      </c>
      <c r="K63" s="13" t="str">
        <f>data!PF38</f>
        <v/>
      </c>
      <c r="L63" s="5" t="str">
        <f>data!PG38</f>
        <v/>
      </c>
      <c r="M63" s="498" t="str">
        <f>data!PH38</f>
        <v/>
      </c>
      <c r="N63" s="498" t="str">
        <f>data!PI38</f>
        <v/>
      </c>
      <c r="O63" s="606" t="str">
        <f>data!PJ38</f>
        <v/>
      </c>
      <c r="P63" s="607" t="str">
        <f>data!PK38</f>
        <v/>
      </c>
    </row>
    <row r="64" spans="1:21" ht="15.75" customHeight="1" x14ac:dyDescent="0.15">
      <c r="A64" s="122" t="str">
        <f>data!$NA$39</f>
        <v/>
      </c>
      <c r="B64" s="123" t="str">
        <f>data!$NB$39</f>
        <v/>
      </c>
      <c r="C64" s="603" t="str">
        <f>data!OX39</f>
        <v/>
      </c>
      <c r="D64" s="6" t="str">
        <f>data!OY39</f>
        <v/>
      </c>
      <c r="E64" s="6" t="str">
        <f>data!OZ39</f>
        <v/>
      </c>
      <c r="F64" s="13" t="str">
        <f>data!PA39</f>
        <v/>
      </c>
      <c r="G64" s="5" t="str">
        <f>data!PB39</f>
        <v/>
      </c>
      <c r="H64" s="498" t="str">
        <f>data!PC39</f>
        <v/>
      </c>
      <c r="I64" s="498" t="str">
        <f>data!PD39</f>
        <v/>
      </c>
      <c r="J64" s="6" t="str">
        <f>data!PE39</f>
        <v/>
      </c>
      <c r="K64" s="13" t="str">
        <f>data!PF39</f>
        <v/>
      </c>
      <c r="L64" s="5" t="str">
        <f>data!PG39</f>
        <v/>
      </c>
      <c r="M64" s="498" t="str">
        <f>data!PH39</f>
        <v/>
      </c>
      <c r="N64" s="498" t="str">
        <f>data!PI39</f>
        <v/>
      </c>
      <c r="O64" s="606" t="str">
        <f>data!PJ39</f>
        <v/>
      </c>
      <c r="P64" s="607" t="str">
        <f>data!PK39</f>
        <v/>
      </c>
    </row>
    <row r="65" spans="1:37" ht="15.75" customHeight="1" x14ac:dyDescent="0.15">
      <c r="A65" s="122" t="str">
        <f>data!$NA$40</f>
        <v/>
      </c>
      <c r="B65" s="123" t="str">
        <f>data!$NB$40</f>
        <v/>
      </c>
      <c r="C65" s="603" t="str">
        <f>data!OX40</f>
        <v/>
      </c>
      <c r="D65" s="6" t="str">
        <f>data!OY40</f>
        <v/>
      </c>
      <c r="E65" s="6" t="str">
        <f>data!OZ40</f>
        <v/>
      </c>
      <c r="F65" s="13" t="str">
        <f>data!PA40</f>
        <v/>
      </c>
      <c r="G65" s="5" t="str">
        <f>data!PB40</f>
        <v/>
      </c>
      <c r="H65" s="498" t="str">
        <f>data!PC40</f>
        <v/>
      </c>
      <c r="I65" s="498" t="str">
        <f>data!PD40</f>
        <v/>
      </c>
      <c r="J65" s="6" t="str">
        <f>data!PE40</f>
        <v/>
      </c>
      <c r="K65" s="13" t="str">
        <f>data!PF40</f>
        <v/>
      </c>
      <c r="L65" s="5" t="str">
        <f>data!PG40</f>
        <v/>
      </c>
      <c r="M65" s="498" t="str">
        <f>data!PH40</f>
        <v/>
      </c>
      <c r="N65" s="498" t="str">
        <f>data!PI40</f>
        <v/>
      </c>
      <c r="O65" s="606" t="str">
        <f>data!PJ40</f>
        <v/>
      </c>
      <c r="P65" s="607" t="str">
        <f>data!PK40</f>
        <v/>
      </c>
    </row>
    <row r="66" spans="1:37" ht="15.75" customHeight="1" thickBot="1" x14ac:dyDescent="0.2">
      <c r="A66" s="127" t="str">
        <f>data!$NA$41</f>
        <v/>
      </c>
      <c r="B66" s="509" t="str">
        <f>data!$NB$41</f>
        <v/>
      </c>
      <c r="C66" s="604" t="str">
        <f>data!OX41</f>
        <v/>
      </c>
      <c r="D66" s="40" t="str">
        <f>data!OY41</f>
        <v/>
      </c>
      <c r="E66" s="40" t="str">
        <f>data!OZ41</f>
        <v/>
      </c>
      <c r="F66" s="129" t="str">
        <f>data!PA41</f>
        <v/>
      </c>
      <c r="G66" s="39" t="str">
        <f>data!PB41</f>
        <v/>
      </c>
      <c r="H66" s="499" t="str">
        <f>data!PC41</f>
        <v/>
      </c>
      <c r="I66" s="499" t="str">
        <f>data!PD41</f>
        <v/>
      </c>
      <c r="J66" s="40" t="str">
        <f>data!PE41</f>
        <v/>
      </c>
      <c r="K66" s="129" t="str">
        <f>data!PF41</f>
        <v/>
      </c>
      <c r="L66" s="39" t="str">
        <f>data!PG41</f>
        <v/>
      </c>
      <c r="M66" s="499" t="str">
        <f>data!PH41</f>
        <v/>
      </c>
      <c r="N66" s="499" t="str">
        <f>data!PI41</f>
        <v/>
      </c>
      <c r="O66" s="608" t="str">
        <f>data!PJ41</f>
        <v/>
      </c>
      <c r="P66" s="609" t="str">
        <f>data!PK41</f>
        <v/>
      </c>
    </row>
    <row r="67" spans="1:37" ht="15.75" customHeight="1" thickTop="1" thickBot="1" x14ac:dyDescent="0.2">
      <c r="A67" s="677" t="str">
        <f>data!$NB$42</f>
        <v/>
      </c>
      <c r="B67" s="678"/>
      <c r="C67" s="605" t="str">
        <f>data!OX42</f>
        <v/>
      </c>
      <c r="D67" s="513" t="str">
        <f>data!OY42</f>
        <v/>
      </c>
      <c r="E67" s="513" t="str">
        <f>data!OZ42</f>
        <v/>
      </c>
      <c r="F67" s="511" t="str">
        <f>data!PA42</f>
        <v/>
      </c>
      <c r="G67" s="512" t="str">
        <f>data!PB42</f>
        <v/>
      </c>
      <c r="H67" s="522" t="str">
        <f>data!PC42</f>
        <v/>
      </c>
      <c r="I67" s="522" t="str">
        <f>data!PD42</f>
        <v/>
      </c>
      <c r="J67" s="513" t="str">
        <f>data!PE42</f>
        <v/>
      </c>
      <c r="K67" s="511" t="str">
        <f>data!PF42</f>
        <v/>
      </c>
      <c r="L67" s="512" t="str">
        <f>data!PG42</f>
        <v/>
      </c>
      <c r="M67" s="522" t="str">
        <f>data!PH42</f>
        <v/>
      </c>
      <c r="N67" s="522" t="str">
        <f>data!PI42</f>
        <v/>
      </c>
      <c r="O67" s="610" t="str">
        <f>data!PJ42</f>
        <v/>
      </c>
      <c r="P67" s="611" t="str">
        <f>data!PK42</f>
        <v/>
      </c>
    </row>
    <row r="68" spans="1:37" ht="15.75" customHeight="1" thickBot="1" x14ac:dyDescent="0.2">
      <c r="AG68" s="12"/>
    </row>
    <row r="69" spans="1:37" ht="15.75" customHeight="1" x14ac:dyDescent="0.15">
      <c r="A69" s="673" t="str">
        <f>data!PL25</f>
        <v>Instruction</v>
      </c>
      <c r="B69" s="689"/>
      <c r="C69" s="809" t="str">
        <f>data!PN25</f>
        <v>Load-store instruction</v>
      </c>
      <c r="D69" s="794"/>
      <c r="E69" s="794"/>
      <c r="F69" s="794"/>
      <c r="G69" s="794"/>
      <c r="H69" s="794"/>
      <c r="I69" s="794"/>
      <c r="J69" s="794"/>
      <c r="K69" s="794"/>
      <c r="L69" s="794"/>
      <c r="M69" s="794"/>
      <c r="N69" s="794"/>
      <c r="O69" s="794"/>
      <c r="P69" s="795"/>
      <c r="Q69" s="793" t="str">
        <f>data!PZ26</f>
        <v>Prefetch instruction</v>
      </c>
      <c r="R69" s="794"/>
      <c r="S69" s="795"/>
      <c r="T69" s="792" t="str">
        <f>data!QC28</f>
        <v>DCZVA instruction</v>
      </c>
      <c r="U69" s="793" t="str">
        <f>data!QD26</f>
        <v>Floating-point instruction</v>
      </c>
      <c r="V69" s="794"/>
      <c r="W69" s="795"/>
      <c r="X69" s="710" t="str">
        <f>data!QG26</f>
        <v>Floating-point move and conversion instruction</v>
      </c>
      <c r="Y69" s="711"/>
      <c r="Z69" s="792" t="str">
        <f>data!QI28</f>
        <v>Integer instruction</v>
      </c>
      <c r="AA69" s="792" t="str">
        <f>data!QJ28</f>
        <v>Branch instruction</v>
      </c>
      <c r="AB69" s="792" t="str">
        <f>data!QK28</f>
        <v>Predicate instruction</v>
      </c>
      <c r="AC69" s="792" t="str">
        <f>data!QL28</f>
        <v>Crypto-graphic instruction</v>
      </c>
      <c r="AD69" s="792" t="str">
        <f>data!QM28</f>
        <v>Other instruction</v>
      </c>
      <c r="AE69" s="789" t="str">
        <f>data!QN28</f>
        <v>Total</v>
      </c>
      <c r="AG69" s="698" t="str">
        <f>data!RR25</f>
        <v>Power Consumption (W)</v>
      </c>
      <c r="AH69" s="782"/>
      <c r="AI69" s="641" t="str">
        <f>data!RR28</f>
        <v>Power consumption used by core</v>
      </c>
      <c r="AJ69" s="643" t="str">
        <f>data!RS28</f>
        <v>Power consumption used by L2 cache</v>
      </c>
      <c r="AK69" s="645" t="str">
        <f>data!RT28</f>
        <v>Power consumption used by memory</v>
      </c>
    </row>
    <row r="70" spans="1:37" ht="15.75" customHeight="1" x14ac:dyDescent="0.15">
      <c r="A70" s="675"/>
      <c r="B70" s="690"/>
      <c r="C70" s="804" t="str">
        <f>data!PL26</f>
        <v>Load instruction</v>
      </c>
      <c r="D70" s="788"/>
      <c r="E70" s="788"/>
      <c r="F70" s="788"/>
      <c r="G70" s="788"/>
      <c r="H70" s="788"/>
      <c r="I70" s="788"/>
      <c r="J70" s="788"/>
      <c r="K70" s="788" t="str">
        <f>data!PT26</f>
        <v>Store instruction</v>
      </c>
      <c r="L70" s="788"/>
      <c r="M70" s="788"/>
      <c r="N70" s="788"/>
      <c r="O70" s="788"/>
      <c r="P70" s="788"/>
      <c r="Q70" s="686" t="str">
        <f>data!PZ28</f>
        <v>Contiguous prefetch instruction</v>
      </c>
      <c r="R70" s="686" t="str">
        <f>data!QA28</f>
        <v>Gathering prefetch instruction</v>
      </c>
      <c r="S70" s="686" t="str">
        <f>data!QB28</f>
        <v>Scalar prefetch instruction</v>
      </c>
      <c r="T70" s="687"/>
      <c r="U70" s="686" t="str">
        <f>data!QD28</f>
        <v>Floating-point instruction except FMA and reciprocal</v>
      </c>
      <c r="V70" s="686" t="str">
        <f>data!QE28</f>
        <v>FMA instruction</v>
      </c>
      <c r="W70" s="686" t="str">
        <f>data!QF28</f>
        <v>Floating-point reciprocal instruction</v>
      </c>
      <c r="X70" s="712"/>
      <c r="Y70" s="713"/>
      <c r="Z70" s="687"/>
      <c r="AA70" s="687"/>
      <c r="AB70" s="687"/>
      <c r="AC70" s="687"/>
      <c r="AD70" s="687"/>
      <c r="AE70" s="790"/>
      <c r="AF70" s="1"/>
      <c r="AG70" s="700"/>
      <c r="AH70" s="783"/>
      <c r="AI70" s="642"/>
      <c r="AJ70" s="644"/>
      <c r="AK70" s="646"/>
    </row>
    <row r="71" spans="1:37" ht="15.75" customHeight="1" x14ac:dyDescent="0.15">
      <c r="A71" s="675"/>
      <c r="B71" s="690"/>
      <c r="C71" s="805" t="str">
        <f>data!PL27</f>
        <v>SIMD</v>
      </c>
      <c r="D71" s="786"/>
      <c r="E71" s="786"/>
      <c r="F71" s="786"/>
      <c r="G71" s="786"/>
      <c r="H71" s="786"/>
      <c r="I71" s="787"/>
      <c r="J71" s="564" t="str">
        <f>data!PS27</f>
        <v>Non-SIMD</v>
      </c>
      <c r="K71" s="785" t="str">
        <f>data!PL27</f>
        <v>SIMD</v>
      </c>
      <c r="L71" s="786"/>
      <c r="M71" s="786"/>
      <c r="N71" s="786"/>
      <c r="O71" s="787"/>
      <c r="P71" s="563" t="str">
        <f>data!PY27</f>
        <v>Non-SIMD</v>
      </c>
      <c r="Q71" s="687"/>
      <c r="R71" s="687"/>
      <c r="S71" s="687"/>
      <c r="T71" s="687"/>
      <c r="U71" s="687"/>
      <c r="V71" s="687"/>
      <c r="W71" s="687"/>
      <c r="X71" s="686" t="str">
        <f>data!QG28</f>
        <v>Floating-point conversion instruction</v>
      </c>
      <c r="Y71" s="686" t="str">
        <f>data!QH28</f>
        <v>Floating-point move instruction</v>
      </c>
      <c r="Z71" s="687"/>
      <c r="AA71" s="687"/>
      <c r="AB71" s="687"/>
      <c r="AC71" s="687"/>
      <c r="AD71" s="687"/>
      <c r="AE71" s="790"/>
      <c r="AF71" s="18"/>
      <c r="AG71" s="700"/>
      <c r="AH71" s="783"/>
      <c r="AI71" s="642"/>
      <c r="AJ71" s="644"/>
      <c r="AK71" s="646"/>
    </row>
    <row r="72" spans="1:37" ht="15.75" customHeight="1" x14ac:dyDescent="0.15">
      <c r="A72" s="675"/>
      <c r="B72" s="690"/>
      <c r="C72" s="736" t="str">
        <f>data!PL28</f>
        <v>Single vector contiguous load instruction</v>
      </c>
      <c r="D72" s="686" t="str">
        <f>data!PM28</f>
        <v>Multiple vector contiguous structure load instruction</v>
      </c>
      <c r="E72" s="686" t="str">
        <f>data!PN28</f>
        <v>Non-contiguous gather load instruction</v>
      </c>
      <c r="F72" s="686" t="str">
        <f>data!PO28</f>
        <v>Broadcast load instruction</v>
      </c>
      <c r="G72" s="686" t="str">
        <f>data!PP28</f>
        <v>Floating-point register fill instruction</v>
      </c>
      <c r="H72" s="686" t="str">
        <f>data!PQ28</f>
        <v>Predicate register fill instruction</v>
      </c>
      <c r="I72" s="686" t="str">
        <f>data!PR28</f>
        <v>First-fault load instruction</v>
      </c>
      <c r="J72" s="686" t="str">
        <f>data!PS28</f>
        <v>Non-SIMD load instruction</v>
      </c>
      <c r="K72" s="686" t="str">
        <f>data!PT28</f>
        <v>Single vector contiguous store instruction</v>
      </c>
      <c r="L72" s="686" t="str">
        <f>data!PU28</f>
        <v>Multiple vector contiguous structure store instruction</v>
      </c>
      <c r="M72" s="686" t="str">
        <f>data!PV28</f>
        <v>Non-contiguous scatter store instruction</v>
      </c>
      <c r="N72" s="686" t="str">
        <f>data!PW28</f>
        <v>Floating-point register spill instruction</v>
      </c>
      <c r="O72" s="686" t="str">
        <f>data!PX28</f>
        <v>Predicate register spill instruction</v>
      </c>
      <c r="P72" s="686" t="str">
        <f>data!PY28</f>
        <v>Non-SIMD store instruction</v>
      </c>
      <c r="Q72" s="687"/>
      <c r="R72" s="687"/>
      <c r="S72" s="687"/>
      <c r="T72" s="687"/>
      <c r="U72" s="687"/>
      <c r="V72" s="687"/>
      <c r="W72" s="687"/>
      <c r="X72" s="687"/>
      <c r="Y72" s="687"/>
      <c r="Z72" s="687"/>
      <c r="AA72" s="687"/>
      <c r="AB72" s="687"/>
      <c r="AC72" s="687"/>
      <c r="AD72" s="687"/>
      <c r="AE72" s="790"/>
      <c r="AF72" s="18"/>
      <c r="AG72" s="700"/>
      <c r="AH72" s="783"/>
      <c r="AI72" s="642"/>
      <c r="AJ72" s="644"/>
      <c r="AK72" s="646"/>
    </row>
    <row r="73" spans="1:37" ht="15.75" customHeight="1" x14ac:dyDescent="0.15">
      <c r="A73" s="675"/>
      <c r="B73" s="690"/>
      <c r="C73" s="737"/>
      <c r="D73" s="687"/>
      <c r="E73" s="687"/>
      <c r="F73" s="687"/>
      <c r="G73" s="687"/>
      <c r="H73" s="687"/>
      <c r="I73" s="687"/>
      <c r="J73" s="687"/>
      <c r="K73" s="687"/>
      <c r="L73" s="687"/>
      <c r="M73" s="687"/>
      <c r="N73" s="687"/>
      <c r="O73" s="687"/>
      <c r="P73" s="687"/>
      <c r="Q73" s="687"/>
      <c r="R73" s="687"/>
      <c r="S73" s="687"/>
      <c r="T73" s="687"/>
      <c r="U73" s="687"/>
      <c r="V73" s="687"/>
      <c r="W73" s="687"/>
      <c r="X73" s="687"/>
      <c r="Y73" s="687"/>
      <c r="Z73" s="687"/>
      <c r="AA73" s="687"/>
      <c r="AB73" s="687"/>
      <c r="AC73" s="687"/>
      <c r="AD73" s="687"/>
      <c r="AE73" s="790"/>
      <c r="AF73" s="18"/>
      <c r="AG73" s="700"/>
      <c r="AH73" s="783"/>
      <c r="AI73" s="642"/>
      <c r="AJ73" s="644"/>
      <c r="AK73" s="646"/>
    </row>
    <row r="74" spans="1:37" ht="15.75" customHeight="1" x14ac:dyDescent="0.15">
      <c r="A74" s="675"/>
      <c r="B74" s="690"/>
      <c r="C74" s="737"/>
      <c r="D74" s="687"/>
      <c r="E74" s="687"/>
      <c r="F74" s="687"/>
      <c r="G74" s="687"/>
      <c r="H74" s="687"/>
      <c r="I74" s="687"/>
      <c r="J74" s="687"/>
      <c r="K74" s="687"/>
      <c r="L74" s="687"/>
      <c r="M74" s="687"/>
      <c r="N74" s="687"/>
      <c r="O74" s="687"/>
      <c r="P74" s="687"/>
      <c r="Q74" s="687"/>
      <c r="R74" s="687"/>
      <c r="S74" s="687"/>
      <c r="T74" s="687"/>
      <c r="U74" s="687"/>
      <c r="V74" s="687"/>
      <c r="W74" s="687"/>
      <c r="X74" s="687"/>
      <c r="Y74" s="687"/>
      <c r="Z74" s="687"/>
      <c r="AA74" s="687"/>
      <c r="AB74" s="687"/>
      <c r="AC74" s="687"/>
      <c r="AD74" s="687"/>
      <c r="AE74" s="790"/>
      <c r="AG74" s="700"/>
      <c r="AH74" s="783"/>
      <c r="AI74" s="642"/>
      <c r="AJ74" s="644"/>
      <c r="AK74" s="646"/>
    </row>
    <row r="75" spans="1:37" ht="15.75" customHeight="1" x14ac:dyDescent="0.15">
      <c r="A75" s="691"/>
      <c r="B75" s="692"/>
      <c r="C75" s="737"/>
      <c r="D75" s="687"/>
      <c r="E75" s="687"/>
      <c r="F75" s="687"/>
      <c r="G75" s="687"/>
      <c r="H75" s="687"/>
      <c r="I75" s="687"/>
      <c r="J75" s="687"/>
      <c r="K75" s="687"/>
      <c r="L75" s="687"/>
      <c r="M75" s="687"/>
      <c r="N75" s="687"/>
      <c r="O75" s="687"/>
      <c r="P75" s="687"/>
      <c r="Q75" s="687"/>
      <c r="R75" s="687"/>
      <c r="S75" s="687"/>
      <c r="T75" s="687"/>
      <c r="U75" s="687"/>
      <c r="V75" s="687"/>
      <c r="W75" s="687"/>
      <c r="X75" s="687"/>
      <c r="Y75" s="687"/>
      <c r="Z75" s="687"/>
      <c r="AA75" s="687"/>
      <c r="AB75" s="687"/>
      <c r="AC75" s="687"/>
      <c r="AD75" s="687"/>
      <c r="AE75" s="790"/>
      <c r="AG75" s="702"/>
      <c r="AH75" s="784"/>
      <c r="AI75" s="642"/>
      <c r="AJ75" s="644"/>
      <c r="AK75" s="646"/>
    </row>
    <row r="76" spans="1:37" ht="15.75" customHeight="1" thickBot="1" x14ac:dyDescent="0.2">
      <c r="A76" s="486" t="s">
        <v>1486</v>
      </c>
      <c r="B76" s="487" t="s">
        <v>1487</v>
      </c>
      <c r="C76" s="738"/>
      <c r="D76" s="688"/>
      <c r="E76" s="688"/>
      <c r="F76" s="688"/>
      <c r="G76" s="688"/>
      <c r="H76" s="714"/>
      <c r="I76" s="688"/>
      <c r="J76" s="688"/>
      <c r="K76" s="688"/>
      <c r="L76" s="688"/>
      <c r="M76" s="688"/>
      <c r="N76" s="688"/>
      <c r="O76" s="714"/>
      <c r="P76" s="688"/>
      <c r="Q76" s="714"/>
      <c r="R76" s="714"/>
      <c r="S76" s="714"/>
      <c r="T76" s="714"/>
      <c r="U76" s="714"/>
      <c r="V76" s="714"/>
      <c r="W76" s="714"/>
      <c r="X76" s="714"/>
      <c r="Y76" s="714"/>
      <c r="Z76" s="714"/>
      <c r="AA76" s="714"/>
      <c r="AB76" s="714"/>
      <c r="AC76" s="714"/>
      <c r="AD76" s="714"/>
      <c r="AE76" s="791"/>
      <c r="AG76" s="486" t="s">
        <v>1486</v>
      </c>
      <c r="AH76" s="487" t="s">
        <v>1487</v>
      </c>
      <c r="AI76" s="628"/>
      <c r="AJ76" s="629"/>
      <c r="AK76" s="630"/>
    </row>
    <row r="77" spans="1:37" ht="15.75" customHeight="1" x14ac:dyDescent="0.15">
      <c r="A77" s="118" t="str">
        <f>data!$NA$30</f>
        <v/>
      </c>
      <c r="B77" s="119" t="str">
        <f>data!$NB$30</f>
        <v/>
      </c>
      <c r="C77" s="488" t="str">
        <f>data!PL30</f>
        <v/>
      </c>
      <c r="D77" s="489" t="str">
        <f>data!PM30</f>
        <v/>
      </c>
      <c r="E77" s="489" t="str">
        <f>data!PN30</f>
        <v/>
      </c>
      <c r="F77" s="489" t="str">
        <f>data!PO30</f>
        <v/>
      </c>
      <c r="G77" s="489" t="str">
        <f>data!PP30</f>
        <v/>
      </c>
      <c r="H77" s="489" t="str">
        <f>data!PQ30</f>
        <v/>
      </c>
      <c r="I77" s="489" t="str">
        <f>data!PR30</f>
        <v/>
      </c>
      <c r="J77" s="489" t="str">
        <f>data!PS30</f>
        <v/>
      </c>
      <c r="K77" s="489" t="str">
        <f>data!PT30</f>
        <v/>
      </c>
      <c r="L77" s="489" t="str">
        <f>data!PU30</f>
        <v/>
      </c>
      <c r="M77" s="489" t="str">
        <f>data!PV30</f>
        <v/>
      </c>
      <c r="N77" s="489" t="str">
        <f>data!PW30</f>
        <v/>
      </c>
      <c r="O77" s="489" t="str">
        <f>data!PX30</f>
        <v/>
      </c>
      <c r="P77" s="489" t="str">
        <f>data!PY30</f>
        <v/>
      </c>
      <c r="Q77" s="489" t="str">
        <f>data!PZ30</f>
        <v/>
      </c>
      <c r="R77" s="489" t="str">
        <f>data!QA30</f>
        <v/>
      </c>
      <c r="S77" s="489" t="str">
        <f>data!QB30</f>
        <v/>
      </c>
      <c r="T77" s="489" t="str">
        <f>data!QC30</f>
        <v/>
      </c>
      <c r="U77" s="489" t="str">
        <f>data!QD30</f>
        <v/>
      </c>
      <c r="V77" s="489" t="str">
        <f>data!QE30</f>
        <v/>
      </c>
      <c r="W77" s="489" t="str">
        <f>data!QF30</f>
        <v/>
      </c>
      <c r="X77" s="489" t="str">
        <f>data!QG30</f>
        <v/>
      </c>
      <c r="Y77" s="489" t="str">
        <f>data!QH30</f>
        <v/>
      </c>
      <c r="Z77" s="489" t="str">
        <f>data!QI30</f>
        <v/>
      </c>
      <c r="AA77" s="489" t="str">
        <f>data!QJ30</f>
        <v/>
      </c>
      <c r="AB77" s="489" t="str">
        <f>data!QK30</f>
        <v/>
      </c>
      <c r="AC77" s="489" t="str">
        <f>data!QL30</f>
        <v/>
      </c>
      <c r="AD77" s="489" t="str">
        <f>data!QM30</f>
        <v/>
      </c>
      <c r="AE77" s="490" t="str">
        <f>data!QN30</f>
        <v/>
      </c>
      <c r="AG77" s="118" t="str">
        <f>data!$NA$30</f>
        <v/>
      </c>
      <c r="AH77" s="119" t="str">
        <f>data!$NB$30</f>
        <v/>
      </c>
      <c r="AI77" s="43" t="str">
        <f>data!RR30</f>
        <v/>
      </c>
      <c r="AJ77" s="768" t="str">
        <f>data!RS42</f>
        <v/>
      </c>
      <c r="AK77" s="780" t="str">
        <f>data!RT42</f>
        <v/>
      </c>
    </row>
    <row r="78" spans="1:37" ht="15.75" customHeight="1" x14ac:dyDescent="0.15">
      <c r="A78" s="122" t="str">
        <f>data!$NA$31</f>
        <v/>
      </c>
      <c r="B78" s="123" t="str">
        <f>data!$NB$31</f>
        <v/>
      </c>
      <c r="C78" s="491" t="str">
        <f>data!PL31</f>
        <v/>
      </c>
      <c r="D78" s="492" t="str">
        <f>data!PM31</f>
        <v/>
      </c>
      <c r="E78" s="492" t="str">
        <f>data!PN31</f>
        <v/>
      </c>
      <c r="F78" s="492" t="str">
        <f>data!PO31</f>
        <v/>
      </c>
      <c r="G78" s="492" t="str">
        <f>data!PP31</f>
        <v/>
      </c>
      <c r="H78" s="492" t="str">
        <f>data!PQ31</f>
        <v/>
      </c>
      <c r="I78" s="492" t="str">
        <f>data!PR31</f>
        <v/>
      </c>
      <c r="J78" s="492" t="str">
        <f>data!PS31</f>
        <v/>
      </c>
      <c r="K78" s="492" t="str">
        <f>data!PT31</f>
        <v/>
      </c>
      <c r="L78" s="492" t="str">
        <f>data!PU31</f>
        <v/>
      </c>
      <c r="M78" s="492" t="str">
        <f>data!PV31</f>
        <v/>
      </c>
      <c r="N78" s="492" t="str">
        <f>data!PW31</f>
        <v/>
      </c>
      <c r="O78" s="492" t="str">
        <f>data!PX31</f>
        <v/>
      </c>
      <c r="P78" s="492" t="str">
        <f>data!PY31</f>
        <v/>
      </c>
      <c r="Q78" s="492" t="str">
        <f>data!PZ31</f>
        <v/>
      </c>
      <c r="R78" s="492" t="str">
        <f>data!QA31</f>
        <v/>
      </c>
      <c r="S78" s="492" t="str">
        <f>data!QB31</f>
        <v/>
      </c>
      <c r="T78" s="492" t="str">
        <f>data!QC31</f>
        <v/>
      </c>
      <c r="U78" s="492" t="str">
        <f>data!QD31</f>
        <v/>
      </c>
      <c r="V78" s="492" t="str">
        <f>data!QE31</f>
        <v/>
      </c>
      <c r="W78" s="492" t="str">
        <f>data!QF31</f>
        <v/>
      </c>
      <c r="X78" s="492" t="str">
        <f>data!QG31</f>
        <v/>
      </c>
      <c r="Y78" s="492" t="str">
        <f>data!QH31</f>
        <v/>
      </c>
      <c r="Z78" s="492" t="str">
        <f>data!QI31</f>
        <v/>
      </c>
      <c r="AA78" s="492" t="str">
        <f>data!QJ31</f>
        <v/>
      </c>
      <c r="AB78" s="492" t="str">
        <f>data!QK31</f>
        <v/>
      </c>
      <c r="AC78" s="492" t="str">
        <f>data!QL31</f>
        <v/>
      </c>
      <c r="AD78" s="492" t="str">
        <f>data!QM31</f>
        <v/>
      </c>
      <c r="AE78" s="493" t="str">
        <f>data!QN31</f>
        <v/>
      </c>
      <c r="AG78" s="122" t="str">
        <f>data!$NA$31</f>
        <v/>
      </c>
      <c r="AH78" s="123" t="str">
        <f>data!$NB$31</f>
        <v/>
      </c>
      <c r="AI78" s="44" t="str">
        <f>data!RR31</f>
        <v/>
      </c>
      <c r="AJ78" s="769"/>
      <c r="AK78" s="781"/>
    </row>
    <row r="79" spans="1:37" ht="15.75" customHeight="1" x14ac:dyDescent="0.15">
      <c r="A79" s="122" t="str">
        <f>data!$NA$32</f>
        <v/>
      </c>
      <c r="B79" s="123" t="str">
        <f>data!$NB$32</f>
        <v/>
      </c>
      <c r="C79" s="491" t="str">
        <f>data!PL32</f>
        <v/>
      </c>
      <c r="D79" s="492" t="str">
        <f>data!PM32</f>
        <v/>
      </c>
      <c r="E79" s="492" t="str">
        <f>data!PN32</f>
        <v/>
      </c>
      <c r="F79" s="492" t="str">
        <f>data!PO32</f>
        <v/>
      </c>
      <c r="G79" s="492" t="str">
        <f>data!PP32</f>
        <v/>
      </c>
      <c r="H79" s="492" t="str">
        <f>data!PQ32</f>
        <v/>
      </c>
      <c r="I79" s="492" t="str">
        <f>data!PR32</f>
        <v/>
      </c>
      <c r="J79" s="492" t="str">
        <f>data!PS32</f>
        <v/>
      </c>
      <c r="K79" s="492" t="str">
        <f>data!PT32</f>
        <v/>
      </c>
      <c r="L79" s="492" t="str">
        <f>data!PU32</f>
        <v/>
      </c>
      <c r="M79" s="492" t="str">
        <f>data!PV32</f>
        <v/>
      </c>
      <c r="N79" s="492" t="str">
        <f>data!PW32</f>
        <v/>
      </c>
      <c r="O79" s="492" t="str">
        <f>data!PX32</f>
        <v/>
      </c>
      <c r="P79" s="492" t="str">
        <f>data!PY32</f>
        <v/>
      </c>
      <c r="Q79" s="492" t="str">
        <f>data!PZ32</f>
        <v/>
      </c>
      <c r="R79" s="492" t="str">
        <f>data!QA32</f>
        <v/>
      </c>
      <c r="S79" s="492" t="str">
        <f>data!QB32</f>
        <v/>
      </c>
      <c r="T79" s="492" t="str">
        <f>data!QC32</f>
        <v/>
      </c>
      <c r="U79" s="492" t="str">
        <f>data!QD32</f>
        <v/>
      </c>
      <c r="V79" s="492" t="str">
        <f>data!QE32</f>
        <v/>
      </c>
      <c r="W79" s="492" t="str">
        <f>data!QF32</f>
        <v/>
      </c>
      <c r="X79" s="492" t="str">
        <f>data!QG32</f>
        <v/>
      </c>
      <c r="Y79" s="492" t="str">
        <f>data!QH32</f>
        <v/>
      </c>
      <c r="Z79" s="492" t="str">
        <f>data!QI32</f>
        <v/>
      </c>
      <c r="AA79" s="492" t="str">
        <f>data!QJ32</f>
        <v/>
      </c>
      <c r="AB79" s="492" t="str">
        <f>data!QK32</f>
        <v/>
      </c>
      <c r="AC79" s="492" t="str">
        <f>data!QL32</f>
        <v/>
      </c>
      <c r="AD79" s="492" t="str">
        <f>data!QM32</f>
        <v/>
      </c>
      <c r="AE79" s="493" t="str">
        <f>data!QN32</f>
        <v/>
      </c>
      <c r="AG79" s="122" t="str">
        <f>data!$NA$32</f>
        <v/>
      </c>
      <c r="AH79" s="123" t="str">
        <f>data!$NB$32</f>
        <v/>
      </c>
      <c r="AI79" s="44" t="str">
        <f>data!RR32</f>
        <v/>
      </c>
      <c r="AJ79" s="769"/>
      <c r="AK79" s="781"/>
    </row>
    <row r="80" spans="1:37" ht="15.75" customHeight="1" x14ac:dyDescent="0.15">
      <c r="A80" s="122" t="str">
        <f>data!$NA$33</f>
        <v/>
      </c>
      <c r="B80" s="123" t="str">
        <f>data!$NB$33</f>
        <v/>
      </c>
      <c r="C80" s="491" t="str">
        <f>data!PL33</f>
        <v/>
      </c>
      <c r="D80" s="492" t="str">
        <f>data!PM33</f>
        <v/>
      </c>
      <c r="E80" s="492" t="str">
        <f>data!PN33</f>
        <v/>
      </c>
      <c r="F80" s="492" t="str">
        <f>data!PO33</f>
        <v/>
      </c>
      <c r="G80" s="492" t="str">
        <f>data!PP33</f>
        <v/>
      </c>
      <c r="H80" s="492" t="str">
        <f>data!PQ33</f>
        <v/>
      </c>
      <c r="I80" s="492" t="str">
        <f>data!PR33</f>
        <v/>
      </c>
      <c r="J80" s="492" t="str">
        <f>data!PS33</f>
        <v/>
      </c>
      <c r="K80" s="492" t="str">
        <f>data!PT33</f>
        <v/>
      </c>
      <c r="L80" s="492" t="str">
        <f>data!PU33</f>
        <v/>
      </c>
      <c r="M80" s="492" t="str">
        <f>data!PV33</f>
        <v/>
      </c>
      <c r="N80" s="492" t="str">
        <f>data!PW33</f>
        <v/>
      </c>
      <c r="O80" s="492" t="str">
        <f>data!PX33</f>
        <v/>
      </c>
      <c r="P80" s="492" t="str">
        <f>data!PY33</f>
        <v/>
      </c>
      <c r="Q80" s="492" t="str">
        <f>data!PZ33</f>
        <v/>
      </c>
      <c r="R80" s="492" t="str">
        <f>data!QA33</f>
        <v/>
      </c>
      <c r="S80" s="492" t="str">
        <f>data!QB33</f>
        <v/>
      </c>
      <c r="T80" s="492" t="str">
        <f>data!QC33</f>
        <v/>
      </c>
      <c r="U80" s="492" t="str">
        <f>data!QD33</f>
        <v/>
      </c>
      <c r="V80" s="492" t="str">
        <f>data!QE33</f>
        <v/>
      </c>
      <c r="W80" s="492" t="str">
        <f>data!QF33</f>
        <v/>
      </c>
      <c r="X80" s="492" t="str">
        <f>data!QG33</f>
        <v/>
      </c>
      <c r="Y80" s="492" t="str">
        <f>data!QH33</f>
        <v/>
      </c>
      <c r="Z80" s="492" t="str">
        <f>data!QI33</f>
        <v/>
      </c>
      <c r="AA80" s="492" t="str">
        <f>data!QJ33</f>
        <v/>
      </c>
      <c r="AB80" s="492" t="str">
        <f>data!QK33</f>
        <v/>
      </c>
      <c r="AC80" s="492" t="str">
        <f>data!QL33</f>
        <v/>
      </c>
      <c r="AD80" s="492" t="str">
        <f>data!QM33</f>
        <v/>
      </c>
      <c r="AE80" s="493" t="str">
        <f>data!QN33</f>
        <v/>
      </c>
      <c r="AG80" s="122" t="str">
        <f>data!$NA$33</f>
        <v/>
      </c>
      <c r="AH80" s="123" t="str">
        <f>data!$NB$33</f>
        <v/>
      </c>
      <c r="AI80" s="44" t="str">
        <f>data!RR33</f>
        <v/>
      </c>
      <c r="AJ80" s="769"/>
      <c r="AK80" s="781"/>
    </row>
    <row r="81" spans="1:55" ht="15.75" customHeight="1" x14ac:dyDescent="0.15">
      <c r="A81" s="122" t="str">
        <f>data!$NA$34</f>
        <v/>
      </c>
      <c r="B81" s="123" t="str">
        <f>data!$NB$34</f>
        <v/>
      </c>
      <c r="C81" s="491" t="str">
        <f>data!PL34</f>
        <v/>
      </c>
      <c r="D81" s="492" t="str">
        <f>data!PM34</f>
        <v/>
      </c>
      <c r="E81" s="492" t="str">
        <f>data!PN34</f>
        <v/>
      </c>
      <c r="F81" s="492" t="str">
        <f>data!PO34</f>
        <v/>
      </c>
      <c r="G81" s="492" t="str">
        <f>data!PP34</f>
        <v/>
      </c>
      <c r="H81" s="492" t="str">
        <f>data!PQ34</f>
        <v/>
      </c>
      <c r="I81" s="492" t="str">
        <f>data!PR34</f>
        <v/>
      </c>
      <c r="J81" s="492" t="str">
        <f>data!PS34</f>
        <v/>
      </c>
      <c r="K81" s="492" t="str">
        <f>data!PT34</f>
        <v/>
      </c>
      <c r="L81" s="492" t="str">
        <f>data!PU34</f>
        <v/>
      </c>
      <c r="M81" s="492" t="str">
        <f>data!PV34</f>
        <v/>
      </c>
      <c r="N81" s="492" t="str">
        <f>data!PW34</f>
        <v/>
      </c>
      <c r="O81" s="492" t="str">
        <f>data!PX34</f>
        <v/>
      </c>
      <c r="P81" s="492" t="str">
        <f>data!PY34</f>
        <v/>
      </c>
      <c r="Q81" s="492" t="str">
        <f>data!PZ34</f>
        <v/>
      </c>
      <c r="R81" s="492" t="str">
        <f>data!QA34</f>
        <v/>
      </c>
      <c r="S81" s="492" t="str">
        <f>data!QB34</f>
        <v/>
      </c>
      <c r="T81" s="492" t="str">
        <f>data!QC34</f>
        <v/>
      </c>
      <c r="U81" s="492" t="str">
        <f>data!QD34</f>
        <v/>
      </c>
      <c r="V81" s="492" t="str">
        <f>data!QE34</f>
        <v/>
      </c>
      <c r="W81" s="492" t="str">
        <f>data!QF34</f>
        <v/>
      </c>
      <c r="X81" s="492" t="str">
        <f>data!QG34</f>
        <v/>
      </c>
      <c r="Y81" s="492" t="str">
        <f>data!QH34</f>
        <v/>
      </c>
      <c r="Z81" s="492" t="str">
        <f>data!QI34</f>
        <v/>
      </c>
      <c r="AA81" s="492" t="str">
        <f>data!QJ34</f>
        <v/>
      </c>
      <c r="AB81" s="492" t="str">
        <f>data!QK34</f>
        <v/>
      </c>
      <c r="AC81" s="492" t="str">
        <f>data!QL34</f>
        <v/>
      </c>
      <c r="AD81" s="492" t="str">
        <f>data!QM34</f>
        <v/>
      </c>
      <c r="AE81" s="493" t="str">
        <f>data!QN34</f>
        <v/>
      </c>
      <c r="AG81" s="122" t="str">
        <f>data!$NA$34</f>
        <v/>
      </c>
      <c r="AH81" s="123" t="str">
        <f>data!$NB$34</f>
        <v/>
      </c>
      <c r="AI81" s="44" t="str">
        <f>data!RR34</f>
        <v/>
      </c>
      <c r="AJ81" s="769"/>
      <c r="AK81" s="781"/>
    </row>
    <row r="82" spans="1:55" ht="15.75" customHeight="1" x14ac:dyDescent="0.15">
      <c r="A82" s="122" t="str">
        <f>data!$NA$35</f>
        <v/>
      </c>
      <c r="B82" s="123" t="str">
        <f>data!$NB$35</f>
        <v/>
      </c>
      <c r="C82" s="491" t="str">
        <f>data!PL35</f>
        <v/>
      </c>
      <c r="D82" s="492" t="str">
        <f>data!PM35</f>
        <v/>
      </c>
      <c r="E82" s="492" t="str">
        <f>data!PN35</f>
        <v/>
      </c>
      <c r="F82" s="492" t="str">
        <f>data!PO35</f>
        <v/>
      </c>
      <c r="G82" s="492" t="str">
        <f>data!PP35</f>
        <v/>
      </c>
      <c r="H82" s="492" t="str">
        <f>data!PQ35</f>
        <v/>
      </c>
      <c r="I82" s="492" t="str">
        <f>data!PR35</f>
        <v/>
      </c>
      <c r="J82" s="492" t="str">
        <f>data!PS35</f>
        <v/>
      </c>
      <c r="K82" s="492" t="str">
        <f>data!PT35</f>
        <v/>
      </c>
      <c r="L82" s="492" t="str">
        <f>data!PU35</f>
        <v/>
      </c>
      <c r="M82" s="492" t="str">
        <f>data!PV35</f>
        <v/>
      </c>
      <c r="N82" s="492" t="str">
        <f>data!PW35</f>
        <v/>
      </c>
      <c r="O82" s="492" t="str">
        <f>data!PX35</f>
        <v/>
      </c>
      <c r="P82" s="492" t="str">
        <f>data!PY35</f>
        <v/>
      </c>
      <c r="Q82" s="492" t="str">
        <f>data!PZ35</f>
        <v/>
      </c>
      <c r="R82" s="492" t="str">
        <f>data!QA35</f>
        <v/>
      </c>
      <c r="S82" s="492" t="str">
        <f>data!QB35</f>
        <v/>
      </c>
      <c r="T82" s="492" t="str">
        <f>data!QC35</f>
        <v/>
      </c>
      <c r="U82" s="492" t="str">
        <f>data!QD35</f>
        <v/>
      </c>
      <c r="V82" s="492" t="str">
        <f>data!QE35</f>
        <v/>
      </c>
      <c r="W82" s="492" t="str">
        <f>data!QF35</f>
        <v/>
      </c>
      <c r="X82" s="492" t="str">
        <f>data!QG35</f>
        <v/>
      </c>
      <c r="Y82" s="492" t="str">
        <f>data!QH35</f>
        <v/>
      </c>
      <c r="Z82" s="492" t="str">
        <f>data!QI35</f>
        <v/>
      </c>
      <c r="AA82" s="492" t="str">
        <f>data!QJ35</f>
        <v/>
      </c>
      <c r="AB82" s="492" t="str">
        <f>data!QK35</f>
        <v/>
      </c>
      <c r="AC82" s="492" t="str">
        <f>data!QL35</f>
        <v/>
      </c>
      <c r="AD82" s="492" t="str">
        <f>data!QM35</f>
        <v/>
      </c>
      <c r="AE82" s="493" t="str">
        <f>data!QN35</f>
        <v/>
      </c>
      <c r="AG82" s="122" t="str">
        <f>data!$NA$35</f>
        <v/>
      </c>
      <c r="AH82" s="123" t="str">
        <f>data!$NB$35</f>
        <v/>
      </c>
      <c r="AI82" s="44" t="str">
        <f>data!RR35</f>
        <v/>
      </c>
      <c r="AJ82" s="769"/>
      <c r="AK82" s="781"/>
    </row>
    <row r="83" spans="1:55" ht="15.75" customHeight="1" x14ac:dyDescent="0.15">
      <c r="A83" s="122" t="str">
        <f>data!$NA$36</f>
        <v/>
      </c>
      <c r="B83" s="123" t="str">
        <f>data!$NB$36</f>
        <v/>
      </c>
      <c r="C83" s="491" t="str">
        <f>data!PL36</f>
        <v/>
      </c>
      <c r="D83" s="492" t="str">
        <f>data!PM36</f>
        <v/>
      </c>
      <c r="E83" s="492" t="str">
        <f>data!PN36</f>
        <v/>
      </c>
      <c r="F83" s="492" t="str">
        <f>data!PO36</f>
        <v/>
      </c>
      <c r="G83" s="492" t="str">
        <f>data!PP36</f>
        <v/>
      </c>
      <c r="H83" s="492" t="str">
        <f>data!PQ36</f>
        <v/>
      </c>
      <c r="I83" s="492" t="str">
        <f>data!PR36</f>
        <v/>
      </c>
      <c r="J83" s="492" t="str">
        <f>data!PS36</f>
        <v/>
      </c>
      <c r="K83" s="492" t="str">
        <f>data!PT36</f>
        <v/>
      </c>
      <c r="L83" s="492" t="str">
        <f>data!PU36</f>
        <v/>
      </c>
      <c r="M83" s="492" t="str">
        <f>data!PV36</f>
        <v/>
      </c>
      <c r="N83" s="492" t="str">
        <f>data!PW36</f>
        <v/>
      </c>
      <c r="O83" s="492" t="str">
        <f>data!PX36</f>
        <v/>
      </c>
      <c r="P83" s="492" t="str">
        <f>data!PY36</f>
        <v/>
      </c>
      <c r="Q83" s="492" t="str">
        <f>data!PZ36</f>
        <v/>
      </c>
      <c r="R83" s="492" t="str">
        <f>data!QA36</f>
        <v/>
      </c>
      <c r="S83" s="492" t="str">
        <f>data!QB36</f>
        <v/>
      </c>
      <c r="T83" s="492" t="str">
        <f>data!QC36</f>
        <v/>
      </c>
      <c r="U83" s="492" t="str">
        <f>data!QD36</f>
        <v/>
      </c>
      <c r="V83" s="492" t="str">
        <f>data!QE36</f>
        <v/>
      </c>
      <c r="W83" s="492" t="str">
        <f>data!QF36</f>
        <v/>
      </c>
      <c r="X83" s="492" t="str">
        <f>data!QG36</f>
        <v/>
      </c>
      <c r="Y83" s="492" t="str">
        <f>data!QH36</f>
        <v/>
      </c>
      <c r="Z83" s="492" t="str">
        <f>data!QI36</f>
        <v/>
      </c>
      <c r="AA83" s="492" t="str">
        <f>data!QJ36</f>
        <v/>
      </c>
      <c r="AB83" s="492" t="str">
        <f>data!QK36</f>
        <v/>
      </c>
      <c r="AC83" s="492" t="str">
        <f>data!QL36</f>
        <v/>
      </c>
      <c r="AD83" s="492" t="str">
        <f>data!QM36</f>
        <v/>
      </c>
      <c r="AE83" s="493" t="str">
        <f>data!QN36</f>
        <v/>
      </c>
      <c r="AG83" s="122" t="str">
        <f>data!$NA$36</f>
        <v/>
      </c>
      <c r="AH83" s="123" t="str">
        <f>data!$NB$36</f>
        <v/>
      </c>
      <c r="AI83" s="44" t="str">
        <f>data!RR36</f>
        <v/>
      </c>
      <c r="AJ83" s="769"/>
      <c r="AK83" s="781"/>
    </row>
    <row r="84" spans="1:55" ht="15.75" customHeight="1" x14ac:dyDescent="0.15">
      <c r="A84" s="122" t="str">
        <f>data!$NA$37</f>
        <v/>
      </c>
      <c r="B84" s="123" t="str">
        <f>data!$NB$37</f>
        <v/>
      </c>
      <c r="C84" s="491" t="str">
        <f>data!PL37</f>
        <v/>
      </c>
      <c r="D84" s="492" t="str">
        <f>data!PM37</f>
        <v/>
      </c>
      <c r="E84" s="492" t="str">
        <f>data!PN37</f>
        <v/>
      </c>
      <c r="F84" s="492" t="str">
        <f>data!PO37</f>
        <v/>
      </c>
      <c r="G84" s="492" t="str">
        <f>data!PP37</f>
        <v/>
      </c>
      <c r="H84" s="492" t="str">
        <f>data!PQ37</f>
        <v/>
      </c>
      <c r="I84" s="492" t="str">
        <f>data!PR37</f>
        <v/>
      </c>
      <c r="J84" s="492" t="str">
        <f>data!PS37</f>
        <v/>
      </c>
      <c r="K84" s="492" t="str">
        <f>data!PT37</f>
        <v/>
      </c>
      <c r="L84" s="492" t="str">
        <f>data!PU37</f>
        <v/>
      </c>
      <c r="M84" s="492" t="str">
        <f>data!PV37</f>
        <v/>
      </c>
      <c r="N84" s="492" t="str">
        <f>data!PW37</f>
        <v/>
      </c>
      <c r="O84" s="492" t="str">
        <f>data!PX37</f>
        <v/>
      </c>
      <c r="P84" s="492" t="str">
        <f>data!PY37</f>
        <v/>
      </c>
      <c r="Q84" s="492" t="str">
        <f>data!PZ37</f>
        <v/>
      </c>
      <c r="R84" s="492" t="str">
        <f>data!QA37</f>
        <v/>
      </c>
      <c r="S84" s="492" t="str">
        <f>data!QB37</f>
        <v/>
      </c>
      <c r="T84" s="492" t="str">
        <f>data!QC37</f>
        <v/>
      </c>
      <c r="U84" s="492" t="str">
        <f>data!QD37</f>
        <v/>
      </c>
      <c r="V84" s="492" t="str">
        <f>data!QE37</f>
        <v/>
      </c>
      <c r="W84" s="492" t="str">
        <f>data!QF37</f>
        <v/>
      </c>
      <c r="X84" s="492" t="str">
        <f>data!QG37</f>
        <v/>
      </c>
      <c r="Y84" s="492" t="str">
        <f>data!QH37</f>
        <v/>
      </c>
      <c r="Z84" s="492" t="str">
        <f>data!QI37</f>
        <v/>
      </c>
      <c r="AA84" s="492" t="str">
        <f>data!QJ37</f>
        <v/>
      </c>
      <c r="AB84" s="492" t="str">
        <f>data!QK37</f>
        <v/>
      </c>
      <c r="AC84" s="492" t="str">
        <f>data!QL37</f>
        <v/>
      </c>
      <c r="AD84" s="492" t="str">
        <f>data!QM37</f>
        <v/>
      </c>
      <c r="AE84" s="493" t="str">
        <f>data!QN37</f>
        <v/>
      </c>
      <c r="AG84" s="122" t="str">
        <f>data!$NA$37</f>
        <v/>
      </c>
      <c r="AH84" s="123" t="str">
        <f>data!$NB$37</f>
        <v/>
      </c>
      <c r="AI84" s="44" t="str">
        <f>data!RR37</f>
        <v/>
      </c>
      <c r="AJ84" s="769"/>
      <c r="AK84" s="781"/>
    </row>
    <row r="85" spans="1:55" ht="15.75" customHeight="1" x14ac:dyDescent="0.15">
      <c r="A85" s="122" t="str">
        <f>data!$NA$38</f>
        <v/>
      </c>
      <c r="B85" s="123" t="str">
        <f>data!$NB$38</f>
        <v/>
      </c>
      <c r="C85" s="491" t="str">
        <f>data!PL38</f>
        <v/>
      </c>
      <c r="D85" s="492" t="str">
        <f>data!PM38</f>
        <v/>
      </c>
      <c r="E85" s="492" t="str">
        <f>data!PN38</f>
        <v/>
      </c>
      <c r="F85" s="492" t="str">
        <f>data!PO38</f>
        <v/>
      </c>
      <c r="G85" s="492" t="str">
        <f>data!PP38</f>
        <v/>
      </c>
      <c r="H85" s="492" t="str">
        <f>data!PQ38</f>
        <v/>
      </c>
      <c r="I85" s="492" t="str">
        <f>data!PR38</f>
        <v/>
      </c>
      <c r="J85" s="492" t="str">
        <f>data!PS38</f>
        <v/>
      </c>
      <c r="K85" s="492" t="str">
        <f>data!PT38</f>
        <v/>
      </c>
      <c r="L85" s="492" t="str">
        <f>data!PU38</f>
        <v/>
      </c>
      <c r="M85" s="492" t="str">
        <f>data!PV38</f>
        <v/>
      </c>
      <c r="N85" s="492" t="str">
        <f>data!PW38</f>
        <v/>
      </c>
      <c r="O85" s="492" t="str">
        <f>data!PX38</f>
        <v/>
      </c>
      <c r="P85" s="492" t="str">
        <f>data!PY38</f>
        <v/>
      </c>
      <c r="Q85" s="492" t="str">
        <f>data!PZ38</f>
        <v/>
      </c>
      <c r="R85" s="492" t="str">
        <f>data!QA38</f>
        <v/>
      </c>
      <c r="S85" s="492" t="str">
        <f>data!QB38</f>
        <v/>
      </c>
      <c r="T85" s="492" t="str">
        <f>data!QC38</f>
        <v/>
      </c>
      <c r="U85" s="492" t="str">
        <f>data!QD38</f>
        <v/>
      </c>
      <c r="V85" s="492" t="str">
        <f>data!QE38</f>
        <v/>
      </c>
      <c r="W85" s="492" t="str">
        <f>data!QF38</f>
        <v/>
      </c>
      <c r="X85" s="492" t="str">
        <f>data!QG38</f>
        <v/>
      </c>
      <c r="Y85" s="492" t="str">
        <f>data!QH38</f>
        <v/>
      </c>
      <c r="Z85" s="492" t="str">
        <f>data!QI38</f>
        <v/>
      </c>
      <c r="AA85" s="492" t="str">
        <f>data!QJ38</f>
        <v/>
      </c>
      <c r="AB85" s="492" t="str">
        <f>data!QK38</f>
        <v/>
      </c>
      <c r="AC85" s="492" t="str">
        <f>data!QL38</f>
        <v/>
      </c>
      <c r="AD85" s="492" t="str">
        <f>data!QM38</f>
        <v/>
      </c>
      <c r="AE85" s="493" t="str">
        <f>data!QN38</f>
        <v/>
      </c>
      <c r="AG85" s="122" t="str">
        <f>data!$NA$38</f>
        <v/>
      </c>
      <c r="AH85" s="123" t="str">
        <f>data!$NB$38</f>
        <v/>
      </c>
      <c r="AI85" s="44" t="str">
        <f>data!RR38</f>
        <v/>
      </c>
      <c r="AJ85" s="769"/>
      <c r="AK85" s="781"/>
    </row>
    <row r="86" spans="1:55" ht="15.75" customHeight="1" x14ac:dyDescent="0.15">
      <c r="A86" s="122" t="str">
        <f>data!$NA$39</f>
        <v/>
      </c>
      <c r="B86" s="123" t="str">
        <f>data!$NB$39</f>
        <v/>
      </c>
      <c r="C86" s="491" t="str">
        <f>data!PL39</f>
        <v/>
      </c>
      <c r="D86" s="492" t="str">
        <f>data!PM39</f>
        <v/>
      </c>
      <c r="E86" s="492" t="str">
        <f>data!PN39</f>
        <v/>
      </c>
      <c r="F86" s="492" t="str">
        <f>data!PO39</f>
        <v/>
      </c>
      <c r="G86" s="492" t="str">
        <f>data!PP39</f>
        <v/>
      </c>
      <c r="H86" s="492" t="str">
        <f>data!PQ39</f>
        <v/>
      </c>
      <c r="I86" s="492" t="str">
        <f>data!PR39</f>
        <v/>
      </c>
      <c r="J86" s="492" t="str">
        <f>data!PS39</f>
        <v/>
      </c>
      <c r="K86" s="492" t="str">
        <f>data!PT39</f>
        <v/>
      </c>
      <c r="L86" s="492" t="str">
        <f>data!PU39</f>
        <v/>
      </c>
      <c r="M86" s="492" t="str">
        <f>data!PV39</f>
        <v/>
      </c>
      <c r="N86" s="492" t="str">
        <f>data!PW39</f>
        <v/>
      </c>
      <c r="O86" s="492" t="str">
        <f>data!PX39</f>
        <v/>
      </c>
      <c r="P86" s="492" t="str">
        <f>data!PY39</f>
        <v/>
      </c>
      <c r="Q86" s="492" t="str">
        <f>data!PZ39</f>
        <v/>
      </c>
      <c r="R86" s="492" t="str">
        <f>data!QA39</f>
        <v/>
      </c>
      <c r="S86" s="492" t="str">
        <f>data!QB39</f>
        <v/>
      </c>
      <c r="T86" s="492" t="str">
        <f>data!QC39</f>
        <v/>
      </c>
      <c r="U86" s="492" t="str">
        <f>data!QD39</f>
        <v/>
      </c>
      <c r="V86" s="492" t="str">
        <f>data!QE39</f>
        <v/>
      </c>
      <c r="W86" s="492" t="str">
        <f>data!QF39</f>
        <v/>
      </c>
      <c r="X86" s="492" t="str">
        <f>data!QG39</f>
        <v/>
      </c>
      <c r="Y86" s="492" t="str">
        <f>data!QH39</f>
        <v/>
      </c>
      <c r="Z86" s="492" t="str">
        <f>data!QI39</f>
        <v/>
      </c>
      <c r="AA86" s="492" t="str">
        <f>data!QJ39</f>
        <v/>
      </c>
      <c r="AB86" s="492" t="str">
        <f>data!QK39</f>
        <v/>
      </c>
      <c r="AC86" s="492" t="str">
        <f>data!QL39</f>
        <v/>
      </c>
      <c r="AD86" s="492" t="str">
        <f>data!QM39</f>
        <v/>
      </c>
      <c r="AE86" s="493" t="str">
        <f>data!QN39</f>
        <v/>
      </c>
      <c r="AG86" s="122" t="str">
        <f>data!$NA$39</f>
        <v/>
      </c>
      <c r="AH86" s="123" t="str">
        <f>data!$NB$39</f>
        <v/>
      </c>
      <c r="AI86" s="44" t="str">
        <f>data!RR39</f>
        <v/>
      </c>
      <c r="AJ86" s="769"/>
      <c r="AK86" s="781"/>
    </row>
    <row r="87" spans="1:55" ht="15.75" customHeight="1" x14ac:dyDescent="0.15">
      <c r="A87" s="122" t="str">
        <f>data!$NA$40</f>
        <v/>
      </c>
      <c r="B87" s="123" t="str">
        <f>data!$NB$40</f>
        <v/>
      </c>
      <c r="C87" s="491" t="str">
        <f>data!PL40</f>
        <v/>
      </c>
      <c r="D87" s="492" t="str">
        <f>data!PM40</f>
        <v/>
      </c>
      <c r="E87" s="492" t="str">
        <f>data!PN40</f>
        <v/>
      </c>
      <c r="F87" s="492" t="str">
        <f>data!PO40</f>
        <v/>
      </c>
      <c r="G87" s="492" t="str">
        <f>data!PP40</f>
        <v/>
      </c>
      <c r="H87" s="492" t="str">
        <f>data!PQ40</f>
        <v/>
      </c>
      <c r="I87" s="492" t="str">
        <f>data!PR40</f>
        <v/>
      </c>
      <c r="J87" s="492" t="str">
        <f>data!PS40</f>
        <v/>
      </c>
      <c r="K87" s="492" t="str">
        <f>data!PT40</f>
        <v/>
      </c>
      <c r="L87" s="492" t="str">
        <f>data!PU40</f>
        <v/>
      </c>
      <c r="M87" s="492" t="str">
        <f>data!PV40</f>
        <v/>
      </c>
      <c r="N87" s="492" t="str">
        <f>data!PW40</f>
        <v/>
      </c>
      <c r="O87" s="492" t="str">
        <f>data!PX40</f>
        <v/>
      </c>
      <c r="P87" s="492" t="str">
        <f>data!PY40</f>
        <v/>
      </c>
      <c r="Q87" s="492" t="str">
        <f>data!PZ40</f>
        <v/>
      </c>
      <c r="R87" s="492" t="str">
        <f>data!QA40</f>
        <v/>
      </c>
      <c r="S87" s="492" t="str">
        <f>data!QB40</f>
        <v/>
      </c>
      <c r="T87" s="492" t="str">
        <f>data!QC40</f>
        <v/>
      </c>
      <c r="U87" s="492" t="str">
        <f>data!QD40</f>
        <v/>
      </c>
      <c r="V87" s="492" t="str">
        <f>data!QE40</f>
        <v/>
      </c>
      <c r="W87" s="492" t="str">
        <f>data!QF40</f>
        <v/>
      </c>
      <c r="X87" s="492" t="str">
        <f>data!QG40</f>
        <v/>
      </c>
      <c r="Y87" s="492" t="str">
        <f>data!QH40</f>
        <v/>
      </c>
      <c r="Z87" s="492" t="str">
        <f>data!QI40</f>
        <v/>
      </c>
      <c r="AA87" s="492" t="str">
        <f>data!QJ40</f>
        <v/>
      </c>
      <c r="AB87" s="492" t="str">
        <f>data!QK40</f>
        <v/>
      </c>
      <c r="AC87" s="492" t="str">
        <f>data!QL40</f>
        <v/>
      </c>
      <c r="AD87" s="492" t="str">
        <f>data!QM40</f>
        <v/>
      </c>
      <c r="AE87" s="493" t="str">
        <f>data!QN40</f>
        <v/>
      </c>
      <c r="AG87" s="122" t="str">
        <f>data!$NA$40</f>
        <v/>
      </c>
      <c r="AH87" s="123" t="str">
        <f>data!$NB$40</f>
        <v/>
      </c>
      <c r="AI87" s="44" t="str">
        <f>data!RR40</f>
        <v/>
      </c>
      <c r="AJ87" s="769"/>
      <c r="AK87" s="781"/>
    </row>
    <row r="88" spans="1:55" ht="15.75" customHeight="1" thickBot="1" x14ac:dyDescent="0.2">
      <c r="A88" s="127" t="str">
        <f>data!$NA$41</f>
        <v/>
      </c>
      <c r="B88" s="509" t="str">
        <f>data!$NB$41</f>
        <v/>
      </c>
      <c r="C88" s="494" t="str">
        <f>data!PL41</f>
        <v/>
      </c>
      <c r="D88" s="495" t="str">
        <f>data!PM41</f>
        <v/>
      </c>
      <c r="E88" s="495" t="str">
        <f>data!PN41</f>
        <v/>
      </c>
      <c r="F88" s="495" t="str">
        <f>data!PO41</f>
        <v/>
      </c>
      <c r="G88" s="495" t="str">
        <f>data!PP41</f>
        <v/>
      </c>
      <c r="H88" s="495" t="str">
        <f>data!PQ41</f>
        <v/>
      </c>
      <c r="I88" s="495" t="str">
        <f>data!PR41</f>
        <v/>
      </c>
      <c r="J88" s="495" t="str">
        <f>data!PS41</f>
        <v/>
      </c>
      <c r="K88" s="495" t="str">
        <f>data!PT41</f>
        <v/>
      </c>
      <c r="L88" s="495" t="str">
        <f>data!PU41</f>
        <v/>
      </c>
      <c r="M88" s="495" t="str">
        <f>data!PV41</f>
        <v/>
      </c>
      <c r="N88" s="495" t="str">
        <f>data!PW41</f>
        <v/>
      </c>
      <c r="O88" s="495" t="str">
        <f>data!PX41</f>
        <v/>
      </c>
      <c r="P88" s="495" t="str">
        <f>data!PY41</f>
        <v/>
      </c>
      <c r="Q88" s="495" t="str">
        <f>data!PZ41</f>
        <v/>
      </c>
      <c r="R88" s="495" t="str">
        <f>data!QA41</f>
        <v/>
      </c>
      <c r="S88" s="495" t="str">
        <f>data!QB41</f>
        <v/>
      </c>
      <c r="T88" s="495" t="str">
        <f>data!QC41</f>
        <v/>
      </c>
      <c r="U88" s="495" t="str">
        <f>data!QD41</f>
        <v/>
      </c>
      <c r="V88" s="495" t="str">
        <f>data!QE41</f>
        <v/>
      </c>
      <c r="W88" s="495" t="str">
        <f>data!QF41</f>
        <v/>
      </c>
      <c r="X88" s="495" t="str">
        <f>data!QG41</f>
        <v/>
      </c>
      <c r="Y88" s="495" t="str">
        <f>data!QH41</f>
        <v/>
      </c>
      <c r="Z88" s="495" t="str">
        <f>data!QI41</f>
        <v/>
      </c>
      <c r="AA88" s="495" t="str">
        <f>data!QJ41</f>
        <v/>
      </c>
      <c r="AB88" s="495" t="str">
        <f>data!QK41</f>
        <v/>
      </c>
      <c r="AC88" s="495" t="str">
        <f>data!QL41</f>
        <v/>
      </c>
      <c r="AD88" s="495" t="str">
        <f>data!QM41</f>
        <v/>
      </c>
      <c r="AE88" s="496" t="str">
        <f>data!QN41</f>
        <v/>
      </c>
      <c r="AG88" s="127" t="str">
        <f>data!$NA$41</f>
        <v/>
      </c>
      <c r="AH88" s="509" t="str">
        <f>data!$NB$41</f>
        <v/>
      </c>
      <c r="AI88" s="537" t="str">
        <f>data!RR41</f>
        <v/>
      </c>
      <c r="AJ88" s="769"/>
      <c r="AK88" s="781"/>
    </row>
    <row r="89" spans="1:55" ht="15.75" customHeight="1" thickTop="1" thickBot="1" x14ac:dyDescent="0.2">
      <c r="A89" s="729" t="str">
        <f>data!$NB$42</f>
        <v/>
      </c>
      <c r="B89" s="730"/>
      <c r="C89" s="525" t="str">
        <f>data!PL42</f>
        <v/>
      </c>
      <c r="D89" s="526" t="str">
        <f>data!PM42</f>
        <v/>
      </c>
      <c r="E89" s="526" t="str">
        <f>data!PN42</f>
        <v/>
      </c>
      <c r="F89" s="526" t="str">
        <f>data!PO42</f>
        <v/>
      </c>
      <c r="G89" s="526" t="str">
        <f>data!PP42</f>
        <v/>
      </c>
      <c r="H89" s="526" t="str">
        <f>data!PQ42</f>
        <v/>
      </c>
      <c r="I89" s="526" t="str">
        <f>data!PR42</f>
        <v/>
      </c>
      <c r="J89" s="526" t="str">
        <f>data!PS42</f>
        <v/>
      </c>
      <c r="K89" s="526" t="str">
        <f>data!PT42</f>
        <v/>
      </c>
      <c r="L89" s="526" t="str">
        <f>data!PU42</f>
        <v/>
      </c>
      <c r="M89" s="526" t="str">
        <f>data!PV42</f>
        <v/>
      </c>
      <c r="N89" s="526" t="str">
        <f>data!PW42</f>
        <v/>
      </c>
      <c r="O89" s="526" t="str">
        <f>data!PX42</f>
        <v/>
      </c>
      <c r="P89" s="526" t="str">
        <f>data!PY42</f>
        <v/>
      </c>
      <c r="Q89" s="526" t="str">
        <f>data!PZ42</f>
        <v/>
      </c>
      <c r="R89" s="526" t="str">
        <f>data!QA42</f>
        <v/>
      </c>
      <c r="S89" s="526" t="str">
        <f>data!QB42</f>
        <v/>
      </c>
      <c r="T89" s="526" t="str">
        <f>data!QC42</f>
        <v/>
      </c>
      <c r="U89" s="526" t="str">
        <f>data!QD42</f>
        <v/>
      </c>
      <c r="V89" s="526" t="str">
        <f>data!QE42</f>
        <v/>
      </c>
      <c r="W89" s="526" t="str">
        <f>data!QF42</f>
        <v/>
      </c>
      <c r="X89" s="526" t="str">
        <f>data!QG42</f>
        <v/>
      </c>
      <c r="Y89" s="526" t="str">
        <f>data!QH42</f>
        <v/>
      </c>
      <c r="Z89" s="526" t="str">
        <f>data!QI42</f>
        <v/>
      </c>
      <c r="AA89" s="526" t="str">
        <f>data!QJ42</f>
        <v/>
      </c>
      <c r="AB89" s="526" t="str">
        <f>data!QK42</f>
        <v/>
      </c>
      <c r="AC89" s="526" t="str">
        <f>data!QL42</f>
        <v/>
      </c>
      <c r="AD89" s="526" t="str">
        <f>data!QM42</f>
        <v/>
      </c>
      <c r="AE89" s="527" t="str">
        <f>data!QN42</f>
        <v/>
      </c>
      <c r="AG89" s="796" t="str">
        <f>data!$NB$42</f>
        <v/>
      </c>
      <c r="AH89" s="797"/>
      <c r="AI89" s="538" t="str">
        <f>data!RR42</f>
        <v/>
      </c>
      <c r="AJ89" s="539" t="str">
        <f>data!RS42</f>
        <v/>
      </c>
      <c r="AK89" s="540" t="str">
        <f>data!RT42</f>
        <v/>
      </c>
    </row>
    <row r="90" spans="1:55" ht="15.75" customHeight="1" thickBot="1" x14ac:dyDescent="0.2">
      <c r="A90" s="731"/>
      <c r="B90" s="732"/>
      <c r="C90" s="810" t="str">
        <f>data!PL43</f>
        <v/>
      </c>
      <c r="D90" s="811"/>
      <c r="E90" s="811"/>
      <c r="F90" s="811"/>
      <c r="G90" s="811"/>
      <c r="H90" s="811"/>
      <c r="I90" s="811"/>
      <c r="J90" s="811"/>
      <c r="K90" s="811"/>
      <c r="L90" s="811"/>
      <c r="M90" s="811"/>
      <c r="N90" s="811"/>
      <c r="O90" s="811"/>
      <c r="P90" s="812"/>
      <c r="Q90" s="817" t="str">
        <f>data!PZ43</f>
        <v/>
      </c>
      <c r="R90" s="811"/>
      <c r="S90" s="812"/>
      <c r="T90" s="50" t="str">
        <f>data!QC43</f>
        <v/>
      </c>
      <c r="U90" s="817" t="str">
        <f>data!QD43</f>
        <v/>
      </c>
      <c r="V90" s="811"/>
      <c r="W90" s="812"/>
      <c r="X90" s="816" t="str">
        <f>data!QG43</f>
        <v/>
      </c>
      <c r="Y90" s="816"/>
      <c r="Z90" s="50" t="str">
        <f>data!QI43</f>
        <v/>
      </c>
      <c r="AA90" s="50" t="str">
        <f>data!QJ43</f>
        <v/>
      </c>
      <c r="AB90" s="50" t="str">
        <f>data!QK43</f>
        <v/>
      </c>
      <c r="AC90" s="50" t="str">
        <f>data!QL43</f>
        <v/>
      </c>
      <c r="AD90" s="50" t="str">
        <f>data!QM43</f>
        <v/>
      </c>
      <c r="AE90" s="497" t="str">
        <f>data!QN43</f>
        <v/>
      </c>
    </row>
    <row r="91" spans="1:55" ht="15.75" customHeight="1" thickBot="1" x14ac:dyDescent="0.2">
      <c r="AG91" s="546"/>
      <c r="AH91" s="3"/>
      <c r="AI91" s="3"/>
      <c r="AJ91" s="3"/>
      <c r="AX91"/>
      <c r="AY91"/>
      <c r="AZ91"/>
      <c r="BA91"/>
      <c r="BB91"/>
      <c r="BC91"/>
    </row>
    <row r="92" spans="1:55" ht="15.75" customHeight="1" x14ac:dyDescent="0.15">
      <c r="A92" s="698" t="str">
        <f>data!RC25</f>
        <v xml:space="preserve">Hardware Prefetch Rate (%) (/Hardware Prefetch) </v>
      </c>
      <c r="B92" s="699"/>
      <c r="C92" s="724" t="str">
        <f>data!RC27</f>
        <v>L1</v>
      </c>
      <c r="D92" s="724"/>
      <c r="E92" s="725"/>
      <c r="F92" s="723" t="str">
        <f>data!RF27</f>
        <v>L2</v>
      </c>
      <c r="G92" s="724"/>
      <c r="H92" s="725"/>
      <c r="I92" s="140" t="str">
        <f>data!RI27</f>
        <v>L1/L2</v>
      </c>
      <c r="K92" s="673" t="str">
        <f>data!QO25</f>
        <v>FLOPS</v>
      </c>
      <c r="L92" s="674"/>
      <c r="M92" s="733" t="str">
        <f>data!QO28</f>
        <v>Double precision floating-point operation</v>
      </c>
      <c r="N92" s="657" t="str">
        <f>data!QP28</f>
        <v>Single precision floating-point operation</v>
      </c>
      <c r="O92" s="657" t="str">
        <f>data!QQ28</f>
        <v>Half precision floating-point operation</v>
      </c>
      <c r="P92" s="813" t="str">
        <f>data!QR28</f>
        <v>GFLOPS by Active element rate</v>
      </c>
      <c r="R92" s="698" t="str">
        <f>data!QS25</f>
        <v>Extra</v>
      </c>
      <c r="S92" s="782"/>
      <c r="T92" s="806" t="str">
        <f>data!QS26</f>
        <v>Gather instruction rate (%)</v>
      </c>
      <c r="U92" s="807"/>
      <c r="V92" s="808"/>
      <c r="W92" s="775" t="str">
        <f>data!QV26</f>
        <v>Instruction</v>
      </c>
      <c r="X92" s="776"/>
      <c r="Y92" s="776"/>
      <c r="Z92" s="776"/>
      <c r="AA92" s="776"/>
      <c r="AB92" s="776"/>
      <c r="AC92" s="777" t="str">
        <f>data!RB28</f>
        <v>Branch prediction miss rate (%)</v>
      </c>
      <c r="AN92" s="480"/>
      <c r="AO92" s="480"/>
      <c r="AP92" s="481"/>
      <c r="AQ92" s="481"/>
    </row>
    <row r="93" spans="1:55" ht="15.75" customHeight="1" x14ac:dyDescent="0.15">
      <c r="A93" s="700"/>
      <c r="B93" s="701"/>
      <c r="C93" s="726" t="str">
        <f>data!RC28</f>
        <v>Stream mode prefetch rate</v>
      </c>
      <c r="D93" s="684" t="str">
        <f>data!RD28</f>
        <v>Injection mode allocate prefetch rate</v>
      </c>
      <c r="E93" s="684" t="str">
        <f>data!RE28</f>
        <v>Injection mode unallocate prefetch rate</v>
      </c>
      <c r="F93" s="684" t="str">
        <f>data!RF28</f>
        <v>Stream mode prefetch rate</v>
      </c>
      <c r="G93" s="684" t="str">
        <f>data!RG28</f>
        <v>Injection mode allocate prefetch rate</v>
      </c>
      <c r="H93" s="684" t="str">
        <f>data!RH28</f>
        <v>Injection mode unallocate prefetch rate</v>
      </c>
      <c r="I93" s="720" t="str">
        <f>data!RI28</f>
        <v>Other hardware prefetch</v>
      </c>
      <c r="K93" s="675"/>
      <c r="L93" s="676"/>
      <c r="M93" s="734"/>
      <c r="N93" s="658"/>
      <c r="O93" s="658"/>
      <c r="P93" s="814"/>
      <c r="R93" s="700"/>
      <c r="S93" s="783"/>
      <c r="T93" s="773" t="str">
        <f>data!QS28</f>
        <v>0 flow rate (%)</v>
      </c>
      <c r="U93" s="773" t="str">
        <f>data!QT28</f>
        <v>1 flow rate (%)</v>
      </c>
      <c r="V93" s="770" t="str">
        <f>data!QU28</f>
        <v>2 flows rate (%)</v>
      </c>
      <c r="W93" s="704" t="str">
        <f>data!QV28</f>
        <v>Micro-operation instruction</v>
      </c>
      <c r="X93" s="707" t="str">
        <f>data!QW28</f>
        <v>Element manipulated instruction</v>
      </c>
      <c r="Y93" s="707" t="str">
        <f>data!QX28</f>
        <v>Register manipulated instruction</v>
      </c>
      <c r="Z93" s="707" t="str">
        <f>data!QY28</f>
        <v>MOVPRFX instruction</v>
      </c>
      <c r="AA93" s="707" t="str">
        <f>data!QZ28</f>
        <v>Math functional instruction</v>
      </c>
      <c r="AB93" s="798" t="str">
        <f>data!RA28</f>
        <v>Micro decomposition instruction rate (%)</v>
      </c>
      <c r="AC93" s="778"/>
      <c r="AN93" s="480"/>
      <c r="AO93" s="480"/>
      <c r="AP93" s="481"/>
      <c r="AQ93" s="481"/>
    </row>
    <row r="94" spans="1:55" ht="15.75" customHeight="1" x14ac:dyDescent="0.15">
      <c r="A94" s="700"/>
      <c r="B94" s="701"/>
      <c r="C94" s="727"/>
      <c r="D94" s="644"/>
      <c r="E94" s="644"/>
      <c r="F94" s="644"/>
      <c r="G94" s="644"/>
      <c r="H94" s="644"/>
      <c r="I94" s="721"/>
      <c r="K94" s="675"/>
      <c r="L94" s="676"/>
      <c r="M94" s="734"/>
      <c r="N94" s="658"/>
      <c r="O94" s="658"/>
      <c r="P94" s="814"/>
      <c r="R94" s="700"/>
      <c r="S94" s="783"/>
      <c r="T94" s="759"/>
      <c r="U94" s="759"/>
      <c r="V94" s="771"/>
      <c r="W94" s="705"/>
      <c r="X94" s="708"/>
      <c r="Y94" s="708"/>
      <c r="Z94" s="708"/>
      <c r="AA94" s="708"/>
      <c r="AB94" s="799"/>
      <c r="AC94" s="778"/>
      <c r="AN94" s="480"/>
      <c r="AO94" s="480"/>
      <c r="AP94" s="479"/>
      <c r="AQ94" s="479"/>
    </row>
    <row r="95" spans="1:55" ht="15.75" customHeight="1" x14ac:dyDescent="0.15">
      <c r="A95" s="700"/>
      <c r="B95" s="701"/>
      <c r="C95" s="727"/>
      <c r="D95" s="644"/>
      <c r="E95" s="644"/>
      <c r="F95" s="644"/>
      <c r="G95" s="644"/>
      <c r="H95" s="644"/>
      <c r="I95" s="721"/>
      <c r="K95" s="675"/>
      <c r="L95" s="676"/>
      <c r="M95" s="734"/>
      <c r="N95" s="658"/>
      <c r="O95" s="658"/>
      <c r="P95" s="814"/>
      <c r="R95" s="700"/>
      <c r="S95" s="783"/>
      <c r="T95" s="759"/>
      <c r="U95" s="759"/>
      <c r="V95" s="771"/>
      <c r="W95" s="705"/>
      <c r="X95" s="708"/>
      <c r="Y95" s="708"/>
      <c r="Z95" s="708"/>
      <c r="AA95" s="708"/>
      <c r="AB95" s="799"/>
      <c r="AC95" s="778"/>
      <c r="AN95" s="478"/>
    </row>
    <row r="96" spans="1:55" ht="15.75" customHeight="1" x14ac:dyDescent="0.15">
      <c r="A96" s="702"/>
      <c r="B96" s="703"/>
      <c r="C96" s="727"/>
      <c r="D96" s="644"/>
      <c r="E96" s="644"/>
      <c r="F96" s="644"/>
      <c r="G96" s="644"/>
      <c r="H96" s="644"/>
      <c r="I96" s="721"/>
      <c r="K96" s="691"/>
      <c r="L96" s="693"/>
      <c r="M96" s="734"/>
      <c r="N96" s="658"/>
      <c r="O96" s="658"/>
      <c r="P96" s="814"/>
      <c r="R96" s="702"/>
      <c r="S96" s="784"/>
      <c r="T96" s="759"/>
      <c r="U96" s="759"/>
      <c r="V96" s="771"/>
      <c r="W96" s="705"/>
      <c r="X96" s="708"/>
      <c r="Y96" s="708"/>
      <c r="Z96" s="708"/>
      <c r="AA96" s="708"/>
      <c r="AB96" s="799"/>
      <c r="AC96" s="778"/>
      <c r="AN96" s="478"/>
    </row>
    <row r="97" spans="1:40" ht="15.75" customHeight="1" thickBot="1" x14ac:dyDescent="0.2">
      <c r="A97" s="486" t="s">
        <v>1486</v>
      </c>
      <c r="B97" s="487" t="s">
        <v>1487</v>
      </c>
      <c r="C97" s="728"/>
      <c r="D97" s="685"/>
      <c r="E97" s="685"/>
      <c r="F97" s="685"/>
      <c r="G97" s="685"/>
      <c r="H97" s="685"/>
      <c r="I97" s="722"/>
      <c r="K97" s="486" t="s">
        <v>1486</v>
      </c>
      <c r="L97" s="487" t="s">
        <v>1487</v>
      </c>
      <c r="M97" s="735"/>
      <c r="N97" s="659"/>
      <c r="O97" s="659"/>
      <c r="P97" s="815"/>
      <c r="R97" s="486" t="s">
        <v>1486</v>
      </c>
      <c r="S97" s="487" t="s">
        <v>1487</v>
      </c>
      <c r="T97" s="774"/>
      <c r="U97" s="774"/>
      <c r="V97" s="772"/>
      <c r="W97" s="706"/>
      <c r="X97" s="709"/>
      <c r="Y97" s="709"/>
      <c r="Z97" s="709"/>
      <c r="AA97" s="709"/>
      <c r="AB97" s="800"/>
      <c r="AC97" s="779"/>
      <c r="AN97" s="478"/>
    </row>
    <row r="98" spans="1:40" ht="15.75" customHeight="1" x14ac:dyDescent="0.15">
      <c r="A98" s="124" t="str">
        <f>data!$NA$30</f>
        <v/>
      </c>
      <c r="B98" s="125" t="str">
        <f>data!$NB$30</f>
        <v/>
      </c>
      <c r="C98" s="138" t="str">
        <f>data!RC30</f>
        <v/>
      </c>
      <c r="D98" s="55" t="str">
        <f>data!RD30</f>
        <v/>
      </c>
      <c r="E98" s="55" t="str">
        <f>data!RE30</f>
        <v/>
      </c>
      <c r="F98" s="55" t="str">
        <f>data!RF30</f>
        <v/>
      </c>
      <c r="G98" s="55" t="str">
        <f>data!RG30</f>
        <v/>
      </c>
      <c r="H98" s="55" t="str">
        <f>data!RH30</f>
        <v/>
      </c>
      <c r="I98" s="139" t="str">
        <f>data!RI30</f>
        <v/>
      </c>
      <c r="K98" s="124" t="str">
        <f>data!$NA$30</f>
        <v/>
      </c>
      <c r="L98" s="125" t="str">
        <f>data!$NB$30</f>
        <v/>
      </c>
      <c r="M98" s="631" t="str">
        <f>data!QO30</f>
        <v/>
      </c>
      <c r="N98" s="631" t="str">
        <f>data!QP30</f>
        <v/>
      </c>
      <c r="O98" s="631" t="str">
        <f>data!QQ30</f>
        <v/>
      </c>
      <c r="P98" s="142" t="str">
        <f>data!QR30</f>
        <v/>
      </c>
      <c r="R98" s="118" t="str">
        <f>data!$NA$30</f>
        <v/>
      </c>
      <c r="S98" s="119" t="str">
        <f>data!$NB$30</f>
        <v/>
      </c>
      <c r="T98" s="7" t="str">
        <f>data!QS30</f>
        <v/>
      </c>
      <c r="U98" s="7" t="str">
        <f>data!QT30</f>
        <v/>
      </c>
      <c r="V98" s="45" t="str">
        <f>data!QU30</f>
        <v/>
      </c>
      <c r="W98" s="109" t="str">
        <f>data!QV30</f>
        <v/>
      </c>
      <c r="X98" s="110" t="str">
        <f>data!QW30</f>
        <v/>
      </c>
      <c r="Y98" s="110" t="str">
        <f>data!QX30</f>
        <v/>
      </c>
      <c r="Z98" s="110" t="str">
        <f>data!QY30</f>
        <v/>
      </c>
      <c r="AA98" s="110" t="str">
        <f>data!QZ30</f>
        <v/>
      </c>
      <c r="AB98" s="93" t="str">
        <f>data!RA30</f>
        <v/>
      </c>
      <c r="AC98" s="502" t="str">
        <f>data!RB30</f>
        <v/>
      </c>
      <c r="AN98" s="478"/>
    </row>
    <row r="99" spans="1:40" ht="15.75" customHeight="1" x14ac:dyDescent="0.15">
      <c r="A99" s="122" t="str">
        <f>data!$NA$31</f>
        <v/>
      </c>
      <c r="B99" s="123" t="str">
        <f>data!$NB$31</f>
        <v/>
      </c>
      <c r="C99" s="8" t="str">
        <f>data!RC31</f>
        <v/>
      </c>
      <c r="D99" s="7" t="str">
        <f>data!RD31</f>
        <v/>
      </c>
      <c r="E99" s="7" t="str">
        <f>data!RE31</f>
        <v/>
      </c>
      <c r="F99" s="7" t="str">
        <f>data!RF31</f>
        <v/>
      </c>
      <c r="G99" s="7" t="str">
        <f>data!RG31</f>
        <v/>
      </c>
      <c r="H99" s="7" t="str">
        <f>data!RH31</f>
        <v/>
      </c>
      <c r="I99" s="9" t="str">
        <f>data!RI31</f>
        <v/>
      </c>
      <c r="K99" s="122" t="str">
        <f>data!$NA$31</f>
        <v/>
      </c>
      <c r="L99" s="123" t="str">
        <f>data!$NB$31</f>
        <v/>
      </c>
      <c r="M99" s="632" t="str">
        <f>data!QO31</f>
        <v/>
      </c>
      <c r="N99" s="632" t="str">
        <f>data!QP31</f>
        <v/>
      </c>
      <c r="O99" s="632" t="str">
        <f>data!QQ31</f>
        <v/>
      </c>
      <c r="P99" s="33" t="str">
        <f>data!QR31</f>
        <v/>
      </c>
      <c r="R99" s="122" t="str">
        <f>data!$NA$31</f>
        <v/>
      </c>
      <c r="S99" s="123" t="str">
        <f>data!$NB$31</f>
        <v/>
      </c>
      <c r="T99" s="7" t="str">
        <f>data!QS31</f>
        <v/>
      </c>
      <c r="U99" s="7" t="str">
        <f>data!QT31</f>
        <v/>
      </c>
      <c r="V99" s="45" t="str">
        <f>data!QU31</f>
        <v/>
      </c>
      <c r="W99" s="109" t="str">
        <f>data!QV31</f>
        <v/>
      </c>
      <c r="X99" s="110" t="str">
        <f>data!QW31</f>
        <v/>
      </c>
      <c r="Y99" s="110" t="str">
        <f>data!QX31</f>
        <v/>
      </c>
      <c r="Z99" s="110" t="str">
        <f>data!QY31</f>
        <v/>
      </c>
      <c r="AA99" s="110" t="str">
        <f>data!QZ31</f>
        <v/>
      </c>
      <c r="AB99" s="505" t="str">
        <f>data!RA31</f>
        <v/>
      </c>
      <c r="AC99" s="503" t="str">
        <f>data!RB31</f>
        <v/>
      </c>
      <c r="AN99" s="478"/>
    </row>
    <row r="100" spans="1:40" ht="15.75" customHeight="1" x14ac:dyDescent="0.15">
      <c r="A100" s="122" t="str">
        <f>data!$NA$32</f>
        <v/>
      </c>
      <c r="B100" s="123" t="str">
        <f>data!$NB$32</f>
        <v/>
      </c>
      <c r="C100" s="8" t="str">
        <f>data!RC32</f>
        <v/>
      </c>
      <c r="D100" s="7" t="str">
        <f>data!RD32</f>
        <v/>
      </c>
      <c r="E100" s="7" t="str">
        <f>data!RE32</f>
        <v/>
      </c>
      <c r="F100" s="7" t="str">
        <f>data!RF32</f>
        <v/>
      </c>
      <c r="G100" s="7" t="str">
        <f>data!RG32</f>
        <v/>
      </c>
      <c r="H100" s="7" t="str">
        <f>data!RH32</f>
        <v/>
      </c>
      <c r="I100" s="9" t="str">
        <f>data!RI32</f>
        <v/>
      </c>
      <c r="K100" s="122" t="str">
        <f>data!$NA$32</f>
        <v/>
      </c>
      <c r="L100" s="123" t="str">
        <f>data!$NB$32</f>
        <v/>
      </c>
      <c r="M100" s="632" t="str">
        <f>data!QO32</f>
        <v/>
      </c>
      <c r="N100" s="632" t="str">
        <f>data!QP32</f>
        <v/>
      </c>
      <c r="O100" s="632" t="str">
        <f>data!QQ32</f>
        <v/>
      </c>
      <c r="P100" s="33" t="str">
        <f>data!QR32</f>
        <v/>
      </c>
      <c r="R100" s="122" t="str">
        <f>data!$NA$32</f>
        <v/>
      </c>
      <c r="S100" s="123" t="str">
        <f>data!$NB$32</f>
        <v/>
      </c>
      <c r="T100" s="7" t="str">
        <f>data!QS32</f>
        <v/>
      </c>
      <c r="U100" s="7" t="str">
        <f>data!QT32</f>
        <v/>
      </c>
      <c r="V100" s="45" t="str">
        <f>data!QU32</f>
        <v/>
      </c>
      <c r="W100" s="109" t="str">
        <f>data!QV32</f>
        <v/>
      </c>
      <c r="X100" s="110" t="str">
        <f>data!QW32</f>
        <v/>
      </c>
      <c r="Y100" s="110" t="str">
        <f>data!QX32</f>
        <v/>
      </c>
      <c r="Z100" s="110" t="str">
        <f>data!QY32</f>
        <v/>
      </c>
      <c r="AA100" s="110" t="str">
        <f>data!QZ32</f>
        <v/>
      </c>
      <c r="AB100" s="505" t="str">
        <f>data!RA32</f>
        <v/>
      </c>
      <c r="AC100" s="503" t="str">
        <f>data!RB32</f>
        <v/>
      </c>
      <c r="AN100" s="478"/>
    </row>
    <row r="101" spans="1:40" ht="15.75" customHeight="1" x14ac:dyDescent="0.15">
      <c r="A101" s="122" t="str">
        <f>data!$NA$33</f>
        <v/>
      </c>
      <c r="B101" s="123" t="str">
        <f>data!$NB$33</f>
        <v/>
      </c>
      <c r="C101" s="8" t="str">
        <f>data!RC33</f>
        <v/>
      </c>
      <c r="D101" s="7" t="str">
        <f>data!RD33</f>
        <v/>
      </c>
      <c r="E101" s="7" t="str">
        <f>data!RE33</f>
        <v/>
      </c>
      <c r="F101" s="7" t="str">
        <f>data!RF33</f>
        <v/>
      </c>
      <c r="G101" s="7" t="str">
        <f>data!RG33</f>
        <v/>
      </c>
      <c r="H101" s="7" t="str">
        <f>data!RH33</f>
        <v/>
      </c>
      <c r="I101" s="9" t="str">
        <f>data!RI33</f>
        <v/>
      </c>
      <c r="K101" s="122" t="str">
        <f>data!$NA$33</f>
        <v/>
      </c>
      <c r="L101" s="123" t="str">
        <f>data!$NB$33</f>
        <v/>
      </c>
      <c r="M101" s="632" t="str">
        <f>data!QO33</f>
        <v/>
      </c>
      <c r="N101" s="632" t="str">
        <f>data!QP33</f>
        <v/>
      </c>
      <c r="O101" s="632" t="str">
        <f>data!QQ33</f>
        <v/>
      </c>
      <c r="P101" s="33" t="str">
        <f>data!QR33</f>
        <v/>
      </c>
      <c r="R101" s="122" t="str">
        <f>data!$NA$33</f>
        <v/>
      </c>
      <c r="S101" s="123" t="str">
        <f>data!$NB$33</f>
        <v/>
      </c>
      <c r="T101" s="7" t="str">
        <f>data!QS33</f>
        <v/>
      </c>
      <c r="U101" s="7" t="str">
        <f>data!QT33</f>
        <v/>
      </c>
      <c r="V101" s="45" t="str">
        <f>data!QU33</f>
        <v/>
      </c>
      <c r="W101" s="109" t="str">
        <f>data!QV33</f>
        <v/>
      </c>
      <c r="X101" s="110" t="str">
        <f>data!QW33</f>
        <v/>
      </c>
      <c r="Y101" s="110" t="str">
        <f>data!QX33</f>
        <v/>
      </c>
      <c r="Z101" s="110" t="str">
        <f>data!QY33</f>
        <v/>
      </c>
      <c r="AA101" s="110" t="str">
        <f>data!QZ33</f>
        <v/>
      </c>
      <c r="AB101" s="505" t="str">
        <f>data!RA33</f>
        <v/>
      </c>
      <c r="AC101" s="503" t="str">
        <f>data!RB33</f>
        <v/>
      </c>
      <c r="AN101" s="478"/>
    </row>
    <row r="102" spans="1:40" ht="15.75" customHeight="1" x14ac:dyDescent="0.15">
      <c r="A102" s="122" t="str">
        <f>data!$NA$34</f>
        <v/>
      </c>
      <c r="B102" s="123" t="str">
        <f>data!$NB$34</f>
        <v/>
      </c>
      <c r="C102" s="8" t="str">
        <f>data!RC34</f>
        <v/>
      </c>
      <c r="D102" s="7" t="str">
        <f>data!RD34</f>
        <v/>
      </c>
      <c r="E102" s="7" t="str">
        <f>data!RE34</f>
        <v/>
      </c>
      <c r="F102" s="7" t="str">
        <f>data!RF34</f>
        <v/>
      </c>
      <c r="G102" s="7" t="str">
        <f>data!RG34</f>
        <v/>
      </c>
      <c r="H102" s="7" t="str">
        <f>data!RH34</f>
        <v/>
      </c>
      <c r="I102" s="9" t="str">
        <f>data!RI34</f>
        <v/>
      </c>
      <c r="K102" s="122" t="str">
        <f>data!$NA$34</f>
        <v/>
      </c>
      <c r="L102" s="123" t="str">
        <f>data!$NB$34</f>
        <v/>
      </c>
      <c r="M102" s="632" t="str">
        <f>data!QO34</f>
        <v/>
      </c>
      <c r="N102" s="632" t="str">
        <f>data!QP34</f>
        <v/>
      </c>
      <c r="O102" s="632" t="str">
        <f>data!QQ34</f>
        <v/>
      </c>
      <c r="P102" s="33" t="str">
        <f>data!QR34</f>
        <v/>
      </c>
      <c r="R102" s="122" t="str">
        <f>data!$NA$34</f>
        <v/>
      </c>
      <c r="S102" s="123" t="str">
        <f>data!$NB$34</f>
        <v/>
      </c>
      <c r="T102" s="7" t="str">
        <f>data!QS34</f>
        <v/>
      </c>
      <c r="U102" s="7" t="str">
        <f>data!QT34</f>
        <v/>
      </c>
      <c r="V102" s="45" t="str">
        <f>data!QU34</f>
        <v/>
      </c>
      <c r="W102" s="109" t="str">
        <f>data!QV34</f>
        <v/>
      </c>
      <c r="X102" s="110" t="str">
        <f>data!QW34</f>
        <v/>
      </c>
      <c r="Y102" s="110" t="str">
        <f>data!QX34</f>
        <v/>
      </c>
      <c r="Z102" s="110" t="str">
        <f>data!QY34</f>
        <v/>
      </c>
      <c r="AA102" s="110" t="str">
        <f>data!QZ34</f>
        <v/>
      </c>
      <c r="AB102" s="505" t="str">
        <f>data!RA34</f>
        <v/>
      </c>
      <c r="AC102" s="503" t="str">
        <f>data!RB34</f>
        <v/>
      </c>
      <c r="AN102" s="478"/>
    </row>
    <row r="103" spans="1:40" ht="15.75" customHeight="1" x14ac:dyDescent="0.15">
      <c r="A103" s="122" t="str">
        <f>data!$NA$35</f>
        <v/>
      </c>
      <c r="B103" s="123" t="str">
        <f>data!$NB$35</f>
        <v/>
      </c>
      <c r="C103" s="8" t="str">
        <f>data!RC35</f>
        <v/>
      </c>
      <c r="D103" s="7" t="str">
        <f>data!RD35</f>
        <v/>
      </c>
      <c r="E103" s="7" t="str">
        <f>data!RE35</f>
        <v/>
      </c>
      <c r="F103" s="7" t="str">
        <f>data!RF35</f>
        <v/>
      </c>
      <c r="G103" s="7" t="str">
        <f>data!RG35</f>
        <v/>
      </c>
      <c r="H103" s="7" t="str">
        <f>data!RH35</f>
        <v/>
      </c>
      <c r="I103" s="9" t="str">
        <f>data!RI35</f>
        <v/>
      </c>
      <c r="K103" s="122" t="str">
        <f>data!$NA$35</f>
        <v/>
      </c>
      <c r="L103" s="123" t="str">
        <f>data!$NB$35</f>
        <v/>
      </c>
      <c r="M103" s="632" t="str">
        <f>data!QO35</f>
        <v/>
      </c>
      <c r="N103" s="632" t="str">
        <f>data!QP35</f>
        <v/>
      </c>
      <c r="O103" s="632" t="str">
        <f>data!QQ35</f>
        <v/>
      </c>
      <c r="P103" s="33" t="str">
        <f>data!QR35</f>
        <v/>
      </c>
      <c r="R103" s="122" t="str">
        <f>data!$NA$35</f>
        <v/>
      </c>
      <c r="S103" s="123" t="str">
        <f>data!$NB$35</f>
        <v/>
      </c>
      <c r="T103" s="7" t="str">
        <f>data!QS35</f>
        <v/>
      </c>
      <c r="U103" s="7" t="str">
        <f>data!QT35</f>
        <v/>
      </c>
      <c r="V103" s="45" t="str">
        <f>data!QU35</f>
        <v/>
      </c>
      <c r="W103" s="109" t="str">
        <f>data!QV35</f>
        <v/>
      </c>
      <c r="X103" s="110" t="str">
        <f>data!QW35</f>
        <v/>
      </c>
      <c r="Y103" s="110" t="str">
        <f>data!QX35</f>
        <v/>
      </c>
      <c r="Z103" s="110" t="str">
        <f>data!QY35</f>
        <v/>
      </c>
      <c r="AA103" s="110" t="str">
        <f>data!QZ35</f>
        <v/>
      </c>
      <c r="AB103" s="505" t="str">
        <f>data!RA35</f>
        <v/>
      </c>
      <c r="AC103" s="503" t="str">
        <f>data!RB35</f>
        <v/>
      </c>
      <c r="AN103" s="478"/>
    </row>
    <row r="104" spans="1:40" ht="15.75" customHeight="1" x14ac:dyDescent="0.15">
      <c r="A104" s="122" t="str">
        <f>data!$NA$36</f>
        <v/>
      </c>
      <c r="B104" s="123" t="str">
        <f>data!$NB$36</f>
        <v/>
      </c>
      <c r="C104" s="8" t="str">
        <f>data!RC36</f>
        <v/>
      </c>
      <c r="D104" s="7" t="str">
        <f>data!RD36</f>
        <v/>
      </c>
      <c r="E104" s="7" t="str">
        <f>data!RE36</f>
        <v/>
      </c>
      <c r="F104" s="7" t="str">
        <f>data!RF36</f>
        <v/>
      </c>
      <c r="G104" s="7" t="str">
        <f>data!RG36</f>
        <v/>
      </c>
      <c r="H104" s="7" t="str">
        <f>data!RH36</f>
        <v/>
      </c>
      <c r="I104" s="9" t="str">
        <f>data!RI36</f>
        <v/>
      </c>
      <c r="K104" s="122" t="str">
        <f>data!$NA$36</f>
        <v/>
      </c>
      <c r="L104" s="123" t="str">
        <f>data!$NB$36</f>
        <v/>
      </c>
      <c r="M104" s="632" t="str">
        <f>data!QO36</f>
        <v/>
      </c>
      <c r="N104" s="632" t="str">
        <f>data!QP36</f>
        <v/>
      </c>
      <c r="O104" s="632" t="str">
        <f>data!QQ36</f>
        <v/>
      </c>
      <c r="P104" s="33" t="str">
        <f>data!QR36</f>
        <v/>
      </c>
      <c r="R104" s="122" t="str">
        <f>data!$NA$36</f>
        <v/>
      </c>
      <c r="S104" s="123" t="str">
        <f>data!$NB$36</f>
        <v/>
      </c>
      <c r="T104" s="7" t="str">
        <f>data!QS36</f>
        <v/>
      </c>
      <c r="U104" s="7" t="str">
        <f>data!QT36</f>
        <v/>
      </c>
      <c r="V104" s="45" t="str">
        <f>data!QU36</f>
        <v/>
      </c>
      <c r="W104" s="109" t="str">
        <f>data!QV36</f>
        <v/>
      </c>
      <c r="X104" s="110" t="str">
        <f>data!QW36</f>
        <v/>
      </c>
      <c r="Y104" s="110" t="str">
        <f>data!QX36</f>
        <v/>
      </c>
      <c r="Z104" s="110" t="str">
        <f>data!QY36</f>
        <v/>
      </c>
      <c r="AA104" s="110" t="str">
        <f>data!QZ36</f>
        <v/>
      </c>
      <c r="AB104" s="505" t="str">
        <f>data!RA36</f>
        <v/>
      </c>
      <c r="AC104" s="503" t="str">
        <f>data!RB36</f>
        <v/>
      </c>
      <c r="AN104" s="478"/>
    </row>
    <row r="105" spans="1:40" ht="15.75" customHeight="1" x14ac:dyDescent="0.15">
      <c r="A105" s="122" t="str">
        <f>data!$NA$37</f>
        <v/>
      </c>
      <c r="B105" s="123" t="str">
        <f>data!$NB$37</f>
        <v/>
      </c>
      <c r="C105" s="8" t="str">
        <f>data!RC37</f>
        <v/>
      </c>
      <c r="D105" s="7" t="str">
        <f>data!RD37</f>
        <v/>
      </c>
      <c r="E105" s="7" t="str">
        <f>data!RE37</f>
        <v/>
      </c>
      <c r="F105" s="7" t="str">
        <f>data!RF37</f>
        <v/>
      </c>
      <c r="G105" s="7" t="str">
        <f>data!RG37</f>
        <v/>
      </c>
      <c r="H105" s="7" t="str">
        <f>data!RH37</f>
        <v/>
      </c>
      <c r="I105" s="9" t="str">
        <f>data!RI37</f>
        <v/>
      </c>
      <c r="K105" s="122" t="str">
        <f>data!$NA$37</f>
        <v/>
      </c>
      <c r="L105" s="123" t="str">
        <f>data!$NB$37</f>
        <v/>
      </c>
      <c r="M105" s="632" t="str">
        <f>data!QO37</f>
        <v/>
      </c>
      <c r="N105" s="632" t="str">
        <f>data!QP37</f>
        <v/>
      </c>
      <c r="O105" s="632" t="str">
        <f>data!QQ37</f>
        <v/>
      </c>
      <c r="P105" s="33" t="str">
        <f>data!QR37</f>
        <v/>
      </c>
      <c r="R105" s="122" t="str">
        <f>data!$NA$37</f>
        <v/>
      </c>
      <c r="S105" s="123" t="str">
        <f>data!$NB$37</f>
        <v/>
      </c>
      <c r="T105" s="7" t="str">
        <f>data!QS37</f>
        <v/>
      </c>
      <c r="U105" s="7" t="str">
        <f>data!QT37</f>
        <v/>
      </c>
      <c r="V105" s="45" t="str">
        <f>data!QU37</f>
        <v/>
      </c>
      <c r="W105" s="109" t="str">
        <f>data!QV37</f>
        <v/>
      </c>
      <c r="X105" s="110" t="str">
        <f>data!QW37</f>
        <v/>
      </c>
      <c r="Y105" s="110" t="str">
        <f>data!QX37</f>
        <v/>
      </c>
      <c r="Z105" s="110" t="str">
        <f>data!QY37</f>
        <v/>
      </c>
      <c r="AA105" s="110" t="str">
        <f>data!QZ37</f>
        <v/>
      </c>
      <c r="AB105" s="505" t="str">
        <f>data!RA37</f>
        <v/>
      </c>
      <c r="AC105" s="503" t="str">
        <f>data!RB37</f>
        <v/>
      </c>
      <c r="AN105" s="478"/>
    </row>
    <row r="106" spans="1:40" ht="15.75" customHeight="1" x14ac:dyDescent="0.15">
      <c r="A106" s="122" t="str">
        <f>data!$NA$38</f>
        <v/>
      </c>
      <c r="B106" s="123" t="str">
        <f>data!$NB$38</f>
        <v/>
      </c>
      <c r="C106" s="8" t="str">
        <f>data!RC38</f>
        <v/>
      </c>
      <c r="D106" s="7" t="str">
        <f>data!RD38</f>
        <v/>
      </c>
      <c r="E106" s="7" t="str">
        <f>data!RE38</f>
        <v/>
      </c>
      <c r="F106" s="7" t="str">
        <f>data!RF38</f>
        <v/>
      </c>
      <c r="G106" s="7" t="str">
        <f>data!RG38</f>
        <v/>
      </c>
      <c r="H106" s="7" t="str">
        <f>data!RH38</f>
        <v/>
      </c>
      <c r="I106" s="9" t="str">
        <f>data!RI38</f>
        <v/>
      </c>
      <c r="K106" s="122" t="str">
        <f>data!$NA$38</f>
        <v/>
      </c>
      <c r="L106" s="123" t="str">
        <f>data!$NB$38</f>
        <v/>
      </c>
      <c r="M106" s="632" t="str">
        <f>data!QO38</f>
        <v/>
      </c>
      <c r="N106" s="632" t="str">
        <f>data!QP38</f>
        <v/>
      </c>
      <c r="O106" s="632" t="str">
        <f>data!QQ38</f>
        <v/>
      </c>
      <c r="P106" s="33" t="str">
        <f>data!QR38</f>
        <v/>
      </c>
      <c r="R106" s="122" t="str">
        <f>data!$NA$38</f>
        <v/>
      </c>
      <c r="S106" s="123" t="str">
        <f>data!$NB$38</f>
        <v/>
      </c>
      <c r="T106" s="7" t="str">
        <f>data!QS38</f>
        <v/>
      </c>
      <c r="U106" s="7" t="str">
        <f>data!QT38</f>
        <v/>
      </c>
      <c r="V106" s="45" t="str">
        <f>data!QU38</f>
        <v/>
      </c>
      <c r="W106" s="109" t="str">
        <f>data!QV38</f>
        <v/>
      </c>
      <c r="X106" s="110" t="str">
        <f>data!QW38</f>
        <v/>
      </c>
      <c r="Y106" s="110" t="str">
        <f>data!QX38</f>
        <v/>
      </c>
      <c r="Z106" s="110" t="str">
        <f>data!QY38</f>
        <v/>
      </c>
      <c r="AA106" s="110" t="str">
        <f>data!QZ38</f>
        <v/>
      </c>
      <c r="AB106" s="505" t="str">
        <f>data!RA38</f>
        <v/>
      </c>
      <c r="AC106" s="503" t="str">
        <f>data!RB38</f>
        <v/>
      </c>
      <c r="AN106" s="478"/>
    </row>
    <row r="107" spans="1:40" ht="15.75" customHeight="1" x14ac:dyDescent="0.15">
      <c r="A107" s="122" t="str">
        <f>data!$NA$39</f>
        <v/>
      </c>
      <c r="B107" s="123" t="str">
        <f>data!$NB$39</f>
        <v/>
      </c>
      <c r="C107" s="8" t="str">
        <f>data!RC39</f>
        <v/>
      </c>
      <c r="D107" s="7" t="str">
        <f>data!RD39</f>
        <v/>
      </c>
      <c r="E107" s="7" t="str">
        <f>data!RE39</f>
        <v/>
      </c>
      <c r="F107" s="7" t="str">
        <f>data!RF39</f>
        <v/>
      </c>
      <c r="G107" s="7" t="str">
        <f>data!RG39</f>
        <v/>
      </c>
      <c r="H107" s="7" t="str">
        <f>data!RH39</f>
        <v/>
      </c>
      <c r="I107" s="9" t="str">
        <f>data!RI39</f>
        <v/>
      </c>
      <c r="K107" s="122" t="str">
        <f>data!$NA$39</f>
        <v/>
      </c>
      <c r="L107" s="123" t="str">
        <f>data!$NB$39</f>
        <v/>
      </c>
      <c r="M107" s="632" t="str">
        <f>data!QO39</f>
        <v/>
      </c>
      <c r="N107" s="632" t="str">
        <f>data!QP39</f>
        <v/>
      </c>
      <c r="O107" s="632" t="str">
        <f>data!QQ39</f>
        <v/>
      </c>
      <c r="P107" s="33" t="str">
        <f>data!QR39</f>
        <v/>
      </c>
      <c r="R107" s="122" t="str">
        <f>data!$NA$39</f>
        <v/>
      </c>
      <c r="S107" s="123" t="str">
        <f>data!$NB$39</f>
        <v/>
      </c>
      <c r="T107" s="7" t="str">
        <f>data!QS39</f>
        <v/>
      </c>
      <c r="U107" s="7" t="str">
        <f>data!QT39</f>
        <v/>
      </c>
      <c r="V107" s="45" t="str">
        <f>data!QU39</f>
        <v/>
      </c>
      <c r="W107" s="109" t="str">
        <f>data!QV39</f>
        <v/>
      </c>
      <c r="X107" s="110" t="str">
        <f>data!QW39</f>
        <v/>
      </c>
      <c r="Y107" s="110" t="str">
        <f>data!QX39</f>
        <v/>
      </c>
      <c r="Z107" s="110" t="str">
        <f>data!QY39</f>
        <v/>
      </c>
      <c r="AA107" s="110" t="str">
        <f>data!QZ39</f>
        <v/>
      </c>
      <c r="AB107" s="505" t="str">
        <f>data!RA39</f>
        <v/>
      </c>
      <c r="AC107" s="503" t="str">
        <f>data!RB39</f>
        <v/>
      </c>
    </row>
    <row r="108" spans="1:40" ht="15.75" customHeight="1" x14ac:dyDescent="0.15">
      <c r="A108" s="122" t="str">
        <f>data!$NA$40</f>
        <v/>
      </c>
      <c r="B108" s="123" t="str">
        <f>data!$NB$40</f>
        <v/>
      </c>
      <c r="C108" s="8" t="str">
        <f>data!RC40</f>
        <v/>
      </c>
      <c r="D108" s="7" t="str">
        <f>data!RD40</f>
        <v/>
      </c>
      <c r="E108" s="7" t="str">
        <f>data!RE40</f>
        <v/>
      </c>
      <c r="F108" s="7" t="str">
        <f>data!RF40</f>
        <v/>
      </c>
      <c r="G108" s="7" t="str">
        <f>data!RG40</f>
        <v/>
      </c>
      <c r="H108" s="7" t="str">
        <f>data!RH40</f>
        <v/>
      </c>
      <c r="I108" s="9" t="str">
        <f>data!RI40</f>
        <v/>
      </c>
      <c r="K108" s="122" t="str">
        <f>data!$NA$40</f>
        <v/>
      </c>
      <c r="L108" s="123" t="str">
        <f>data!$NB$40</f>
        <v/>
      </c>
      <c r="M108" s="632" t="str">
        <f>data!QO40</f>
        <v/>
      </c>
      <c r="N108" s="632" t="str">
        <f>data!QP40</f>
        <v/>
      </c>
      <c r="O108" s="632" t="str">
        <f>data!QQ40</f>
        <v/>
      </c>
      <c r="P108" s="33" t="str">
        <f>data!QR40</f>
        <v/>
      </c>
      <c r="R108" s="122" t="str">
        <f>data!$NA$40</f>
        <v/>
      </c>
      <c r="S108" s="123" t="str">
        <f>data!$NB$40</f>
        <v/>
      </c>
      <c r="T108" s="7" t="str">
        <f>data!QS40</f>
        <v/>
      </c>
      <c r="U108" s="7" t="str">
        <f>data!QT40</f>
        <v/>
      </c>
      <c r="V108" s="45" t="str">
        <f>data!QU40</f>
        <v/>
      </c>
      <c r="W108" s="109" t="str">
        <f>data!QV40</f>
        <v/>
      </c>
      <c r="X108" s="110" t="str">
        <f>data!QW40</f>
        <v/>
      </c>
      <c r="Y108" s="110" t="str">
        <f>data!QX40</f>
        <v/>
      </c>
      <c r="Z108" s="110" t="str">
        <f>data!QY40</f>
        <v/>
      </c>
      <c r="AA108" s="110" t="str">
        <f>data!QZ40</f>
        <v/>
      </c>
      <c r="AB108" s="505" t="str">
        <f>data!RA40</f>
        <v/>
      </c>
      <c r="AC108" s="503" t="str">
        <f>data!RB40</f>
        <v/>
      </c>
    </row>
    <row r="109" spans="1:40" ht="15.75" customHeight="1" thickBot="1" x14ac:dyDescent="0.2">
      <c r="A109" s="127" t="str">
        <f>data!$NA$41</f>
        <v/>
      </c>
      <c r="B109" s="509" t="str">
        <f>data!$NB$41</f>
        <v/>
      </c>
      <c r="C109" s="42" t="str">
        <f>data!RC41</f>
        <v/>
      </c>
      <c r="D109" s="14" t="str">
        <f>data!RD41</f>
        <v/>
      </c>
      <c r="E109" s="14" t="str">
        <f>data!RE41</f>
        <v/>
      </c>
      <c r="F109" s="14" t="str">
        <f>data!RF41</f>
        <v/>
      </c>
      <c r="G109" s="14" t="str">
        <f>data!RG41</f>
        <v/>
      </c>
      <c r="H109" s="14" t="str">
        <f>data!RH41</f>
        <v/>
      </c>
      <c r="I109" s="34" t="str">
        <f>data!RI41</f>
        <v/>
      </c>
      <c r="K109" s="127" t="str">
        <f>data!$NA$41</f>
        <v/>
      </c>
      <c r="L109" s="509" t="str">
        <f>data!$NB$41</f>
        <v/>
      </c>
      <c r="M109" s="633" t="str">
        <f>data!QO41</f>
        <v/>
      </c>
      <c r="N109" s="633" t="str">
        <f>data!QP41</f>
        <v/>
      </c>
      <c r="O109" s="633" t="str">
        <f>data!QQ41</f>
        <v/>
      </c>
      <c r="P109" s="41" t="str">
        <f>data!QR41</f>
        <v/>
      </c>
      <c r="R109" s="127" t="str">
        <f>data!$NA$41</f>
        <v/>
      </c>
      <c r="S109" s="509" t="str">
        <f>data!$NB$41</f>
        <v/>
      </c>
      <c r="T109" s="14" t="str">
        <f>data!QS41</f>
        <v/>
      </c>
      <c r="U109" s="14" t="str">
        <f>data!QT41</f>
        <v/>
      </c>
      <c r="V109" s="91" t="str">
        <f>data!QU41</f>
        <v/>
      </c>
      <c r="W109" s="112" t="str">
        <f>data!QV41</f>
        <v/>
      </c>
      <c r="X109" s="113" t="str">
        <f>data!QW41</f>
        <v/>
      </c>
      <c r="Y109" s="113" t="str">
        <f>data!QX41</f>
        <v/>
      </c>
      <c r="Z109" s="113" t="str">
        <f>data!QY41</f>
        <v/>
      </c>
      <c r="AA109" s="113" t="str">
        <f>data!QZ41</f>
        <v/>
      </c>
      <c r="AB109" s="523" t="str">
        <f>data!RA41</f>
        <v/>
      </c>
      <c r="AC109" s="524" t="str">
        <f>data!RB41</f>
        <v/>
      </c>
    </row>
    <row r="110" spans="1:40" ht="15.75" customHeight="1" thickTop="1" thickBot="1" x14ac:dyDescent="0.2">
      <c r="A110" s="677" t="str">
        <f>data!$NB$42</f>
        <v/>
      </c>
      <c r="B110" s="678"/>
      <c r="C110" s="534" t="str">
        <f>data!RC42</f>
        <v/>
      </c>
      <c r="D110" s="535" t="str">
        <f>data!RD42</f>
        <v/>
      </c>
      <c r="E110" s="535" t="str">
        <f>data!RE42</f>
        <v/>
      </c>
      <c r="F110" s="535" t="str">
        <f>data!RF42</f>
        <v/>
      </c>
      <c r="G110" s="535" t="str">
        <f>data!RG42</f>
        <v/>
      </c>
      <c r="H110" s="535" t="str">
        <f>data!RH42</f>
        <v/>
      </c>
      <c r="I110" s="536" t="str">
        <f>data!RI42</f>
        <v/>
      </c>
      <c r="K110" s="677" t="str">
        <f>data!$NB$42</f>
        <v/>
      </c>
      <c r="L110" s="678"/>
      <c r="M110" s="634" t="str">
        <f>data!QO42</f>
        <v/>
      </c>
      <c r="N110" s="634" t="str">
        <f>data!QP42</f>
        <v/>
      </c>
      <c r="O110" s="634" t="str">
        <f>data!QQ42</f>
        <v/>
      </c>
      <c r="P110" s="533" t="str">
        <f>data!QR42</f>
        <v/>
      </c>
      <c r="R110" s="729" t="str">
        <f>data!$NB$42</f>
        <v/>
      </c>
      <c r="S110" s="730"/>
      <c r="T110" s="528" t="str">
        <f>data!QS42</f>
        <v/>
      </c>
      <c r="U110" s="528" t="str">
        <f>data!QT42</f>
        <v/>
      </c>
      <c r="V110" s="529" t="str">
        <f>data!QU42</f>
        <v/>
      </c>
      <c r="W110" s="530" t="str">
        <f>data!QV42</f>
        <v/>
      </c>
      <c r="X110" s="531" t="str">
        <f>data!QW42</f>
        <v/>
      </c>
      <c r="Y110" s="531" t="str">
        <f>data!QX42</f>
        <v/>
      </c>
      <c r="Z110" s="531" t="str">
        <f>data!QY42</f>
        <v/>
      </c>
      <c r="AA110" s="531" t="str">
        <f>data!QZ42</f>
        <v/>
      </c>
      <c r="AB110" s="532" t="str">
        <f>data!RA42</f>
        <v/>
      </c>
      <c r="AC110" s="529" t="str">
        <f>data!RB42</f>
        <v/>
      </c>
    </row>
    <row r="111" spans="1:40" ht="15.75" customHeight="1" thickBot="1" x14ac:dyDescent="0.3">
      <c r="R111" s="731"/>
      <c r="S111" s="732"/>
      <c r="T111" s="801" t="str">
        <f>data!QS43</f>
        <v/>
      </c>
      <c r="U111" s="802"/>
      <c r="V111" s="803"/>
      <c r="W111" s="506" t="str">
        <f>data!QV43</f>
        <v/>
      </c>
      <c r="X111" s="672" t="str">
        <f>data!QW43</f>
        <v/>
      </c>
      <c r="Y111" s="672"/>
      <c r="Z111" s="507" t="str">
        <f>data!QY43</f>
        <v/>
      </c>
      <c r="AA111" s="507" t="str">
        <f>data!QZ43</f>
        <v/>
      </c>
      <c r="AB111" s="508" t="str">
        <f>data!RA43</f>
        <v/>
      </c>
      <c r="AC111" s="504" t="str">
        <f>data!RB43</f>
        <v/>
      </c>
      <c r="AL111" s="115"/>
    </row>
    <row r="112" spans="1:40" ht="15.75" customHeight="1" x14ac:dyDescent="0.25">
      <c r="A112" s="680" t="str">
        <f>data!RJ25</f>
        <v>Data Transfer CMGs</v>
      </c>
      <c r="B112" s="681"/>
      <c r="C112" s="717" t="str">
        <f>data!RK26</f>
        <v>Destination (GB/s)</v>
      </c>
      <c r="D112" s="718"/>
      <c r="E112" s="718"/>
      <c r="F112" s="718"/>
      <c r="G112" s="718"/>
      <c r="H112" s="718"/>
      <c r="I112" s="719"/>
      <c r="W112" s="105"/>
      <c r="AK112" s="116"/>
      <c r="AL112" s="116"/>
      <c r="AM112" s="117"/>
    </row>
    <row r="113" spans="1:19" ht="15.75" customHeight="1" thickBot="1" x14ac:dyDescent="0.3">
      <c r="A113" s="682"/>
      <c r="B113" s="683"/>
      <c r="C113" s="144" t="str">
        <f>data!RK28</f>
        <v>CMG0</v>
      </c>
      <c r="D113" s="145" t="str">
        <f>data!RL28</f>
        <v>CMG1</v>
      </c>
      <c r="E113" s="145" t="str">
        <f>data!RM28</f>
        <v>CMG2</v>
      </c>
      <c r="F113" s="145" t="str">
        <f>data!RN28</f>
        <v>CMG3</v>
      </c>
      <c r="G113" s="145" t="str">
        <f>data!RO28</f>
        <v>Memory</v>
      </c>
      <c r="H113" s="145" t="str">
        <f>data!RP28</f>
        <v>Tofu</v>
      </c>
      <c r="I113" s="146" t="str">
        <f>data!RQ28</f>
        <v>PCI</v>
      </c>
      <c r="M113" s="618"/>
      <c r="N113" s="618"/>
      <c r="O113" s="618"/>
      <c r="P113" s="618"/>
      <c r="Q113" s="619"/>
      <c r="R113" s="619"/>
      <c r="S113" s="619"/>
    </row>
    <row r="114" spans="1:19" ht="15.75" customHeight="1" x14ac:dyDescent="0.25">
      <c r="A114" s="715" t="str">
        <f>data!$NB$42</f>
        <v/>
      </c>
      <c r="B114" s="624" t="s">
        <v>1930</v>
      </c>
      <c r="C114" s="620" t="str">
        <f>data!RK31</f>
        <v/>
      </c>
      <c r="D114" s="26" t="str">
        <f>data!RL31</f>
        <v/>
      </c>
      <c r="E114" s="26" t="str">
        <f>data!RM31</f>
        <v/>
      </c>
      <c r="F114" s="26" t="str">
        <f>data!RN31</f>
        <v/>
      </c>
      <c r="G114" s="26" t="str">
        <f>data!RO31</f>
        <v/>
      </c>
      <c r="H114" s="26" t="str">
        <f>data!RP31</f>
        <v/>
      </c>
      <c r="I114" s="27" t="str">
        <f>data!RQ31</f>
        <v/>
      </c>
      <c r="M114" s="619"/>
      <c r="N114" s="619"/>
      <c r="O114" s="619"/>
      <c r="P114" s="619"/>
      <c r="Q114" s="619"/>
      <c r="R114" s="619"/>
      <c r="S114" s="619"/>
    </row>
    <row r="115" spans="1:19" ht="15.75" customHeight="1" thickBot="1" x14ac:dyDescent="0.3">
      <c r="A115" s="716"/>
      <c r="B115" s="623" t="s">
        <v>1931</v>
      </c>
      <c r="C115" s="739"/>
      <c r="D115" s="740"/>
      <c r="E115" s="740"/>
      <c r="F115" s="741"/>
      <c r="G115" s="621" t="str">
        <f>data!RO30</f>
        <v/>
      </c>
      <c r="H115" s="621" t="str">
        <f>data!RP30</f>
        <v/>
      </c>
      <c r="I115" s="622" t="str">
        <f>data!RQ30</f>
        <v/>
      </c>
    </row>
    <row r="116" spans="1:19" ht="15.75" customHeight="1" x14ac:dyDescent="0.15"/>
    <row r="117" spans="1:19" ht="15.75" customHeight="1" x14ac:dyDescent="0.15"/>
    <row r="118" spans="1:19" ht="15.75" customHeight="1" x14ac:dyDescent="0.15"/>
    <row r="119" spans="1:19" ht="15.75" customHeight="1" x14ac:dyDescent="0.15"/>
    <row r="120" spans="1:19" ht="15.75" customHeight="1" x14ac:dyDescent="0.15"/>
    <row r="121" spans="1:19" ht="15.75" customHeight="1" x14ac:dyDescent="0.15"/>
    <row r="122" spans="1:19" ht="15.75" customHeight="1" x14ac:dyDescent="0.15"/>
    <row r="123" spans="1:19" ht="15.75" customHeight="1" x14ac:dyDescent="0.15"/>
    <row r="124" spans="1:19" ht="15.75" customHeight="1" x14ac:dyDescent="0.15"/>
    <row r="125" spans="1:19" ht="15.75" customHeight="1" x14ac:dyDescent="0.15"/>
    <row r="126" spans="1:19" ht="15.75" customHeight="1" x14ac:dyDescent="0.15"/>
    <row r="127" spans="1:19" ht="15.75" customHeight="1" x14ac:dyDescent="0.15"/>
    <row r="128" spans="1:19"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sheetData>
  <dataConsolidate/>
  <mergeCells count="178">
    <mergeCell ref="D48:D53"/>
    <mergeCell ref="R8:S8"/>
    <mergeCell ref="T8:Y8"/>
    <mergeCell ref="P26:Q26"/>
    <mergeCell ref="G48:G53"/>
    <mergeCell ref="H48:H53"/>
    <mergeCell ref="O4:P4"/>
    <mergeCell ref="Q4:T4"/>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T111:V111"/>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4:A115"/>
    <mergeCell ref="C112:I112"/>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5:F115"/>
    <mergeCell ref="X111:Y111"/>
    <mergeCell ref="A8:B12"/>
    <mergeCell ref="A26:B26"/>
    <mergeCell ref="J28:J33"/>
    <mergeCell ref="A112:B113"/>
    <mergeCell ref="G93:G97"/>
    <mergeCell ref="G72:G76"/>
    <mergeCell ref="A67:B67"/>
    <mergeCell ref="A48:B53"/>
    <mergeCell ref="A28:B32"/>
    <mergeCell ref="A46:B46"/>
    <mergeCell ref="H34:H45"/>
    <mergeCell ref="I34:I45"/>
    <mergeCell ref="C48:C53"/>
    <mergeCell ref="E48:E53"/>
    <mergeCell ref="F48:F53"/>
    <mergeCell ref="A110:B110"/>
    <mergeCell ref="A92:B96"/>
    <mergeCell ref="W93:W97"/>
    <mergeCell ref="X93:X97"/>
    <mergeCell ref="Y93:Y97"/>
    <mergeCell ref="X69:Y70"/>
    <mergeCell ref="Y71:Y76"/>
    <mergeCell ref="X71:X7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0" stopIfTrue="1">
      <formula>LEN(TRIM(E14))=0</formula>
    </cfRule>
  </conditionalFormatting>
  <conditionalFormatting sqref="X90">
    <cfRule type="expression" dxfId="99" priority="294" stopIfTrue="1">
      <formula>AND(COUNT($C$77:$AC$90)&gt;0,COUNT($X$90)=0)</formula>
    </cfRule>
    <cfRule type="dataBar" priority="296">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8">
      <formula>AND(COUNT($R$14:$AL$26)&gt;0,COUNT(R$14:R$26)=0)</formula>
    </cfRule>
  </conditionalFormatting>
  <conditionalFormatting sqref="AD8:AG8 AL8 R8:R9 S9:AC9 AH9:AK9">
    <cfRule type="expression" dxfId="97" priority="1299">
      <formula>AND(COUNT($R$14:$AL$26)&gt;0,COUNT(R$14:R$26)=0)</formula>
    </cfRule>
  </conditionalFormatting>
  <conditionalFormatting sqref="T69 Z69:AE69">
    <cfRule type="expression" dxfId="96" priority="1372">
      <formula>AND(COUNT($S$77:$AC$90)&gt;0,COUNT(T$77:T$89)=0)</formula>
    </cfRule>
  </conditionalFormatting>
  <conditionalFormatting sqref="M98:P110">
    <cfRule type="expression" dxfId="95" priority="86" stopIfTrue="1">
      <formula>AND(COUNT($M$98:$Q$110)&gt;0,COUNT(M$98:M$110)=0)</formula>
    </cfRule>
  </conditionalFormatting>
  <conditionalFormatting sqref="Q70:S70 U70:W70 X71:Y71 C72:P72 C73:G73 I73:N73 P73">
    <cfRule type="expression" dxfId="94" priority="1468">
      <formula>AND(COUNT($C$77:$AC$90)&gt;0,COUNT(C$77:C$89)=0)</formula>
    </cfRule>
  </conditionalFormatting>
  <conditionalFormatting sqref="AE77:AE88">
    <cfRule type="expression" dxfId="93" priority="1476" stopIfTrue="1">
      <formula>AND(COUNT($C$77:$AC$90)&gt;0,COUNT(AE$77:AE$88)=0)</formula>
    </cfRule>
  </conditionalFormatting>
  <conditionalFormatting sqref="AE89">
    <cfRule type="expression" dxfId="92" priority="1477">
      <formula>AND(COUNT($C$77:$AC$90)&gt;0,COUNT(AE$89)=0)</formula>
    </cfRule>
  </conditionalFormatting>
  <conditionalFormatting sqref="AE90">
    <cfRule type="expression" dxfId="91" priority="1478" stopIfTrue="1">
      <formula>AND(COUNT($C$77:$AC$90)&gt;0,COUNT(AE$90)=0)</formula>
    </cfRule>
  </conditionalFormatting>
  <conditionalFormatting sqref="C77:AD88">
    <cfRule type="expression" dxfId="90" priority="1479" stopIfTrue="1">
      <formula>AND(COUNT($C$77:$AD$90)&gt;0,COUNT(C$77:C$88)=0)</formula>
    </cfRule>
    <cfRule type="dataBar" priority="1480">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4" stopIfTrue="1">
      <formula>AND(COUNT($C$77:$AD$90)&gt;0,COUNT(C$89)=0)</formula>
    </cfRule>
    <cfRule type="dataBar" priority="1485">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2" stopIfTrue="1">
      <formula>AND(COUNT($W$119:$AC$132)&gt;0,COUNT(W$110)=0)</formula>
    </cfRule>
  </conditionalFormatting>
  <conditionalFormatting sqref="W98:AA109">
    <cfRule type="expression" dxfId="87" priority="1494" stopIfTrue="1">
      <formula>AND(COUNT($W$119:$AC$132)&gt;0,COUNT(W$98:W$109)=0)</formula>
    </cfRule>
  </conditionalFormatting>
  <conditionalFormatting sqref="Z90:AD90 C90 Q90 T90:U90">
    <cfRule type="expression" dxfId="86" priority="1496" stopIfTrue="1">
      <formula>AND(COUNT($C$77:$AC$90)&gt;0,COUNT(C$90)=0)</formula>
    </cfRule>
    <cfRule type="dataBar" priority="1497">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6" stopIfTrue="1">
      <formula>AND(COUNT($W$119:$AC$132)&gt;0,COUNT(W$111)=0)</formula>
    </cfRule>
  </conditionalFormatting>
  <conditionalFormatting sqref="L34:L46">
    <cfRule type="expression" dxfId="84" priority="1519" stopIfTrue="1">
      <formula>AND(COUNT($C$34:$Q$46)&gt;0,COUNT(L$34:L$46)=0)</formula>
    </cfRule>
  </conditionalFormatting>
  <conditionalFormatting sqref="M98:O109">
    <cfRule type="dataBar" priority="87">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2">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6" stopIfTrue="1">
      <formula>AND(COUNT($C$55:$P$67)&gt;0,COUNT(D$55:D$67)=0)</formula>
    </cfRule>
  </conditionalFormatting>
  <conditionalFormatting sqref="C34:C46">
    <cfRule type="expression" dxfId="82" priority="1549">
      <formula>AND(COUNT($C$34:$P$46)&gt;0,COUNT(C$34:C$46)=0)</formula>
    </cfRule>
  </conditionalFormatting>
  <conditionalFormatting sqref="R13">
    <cfRule type="expression" dxfId="81" priority="84" stopIfTrue="1">
      <formula>data_Level_CycleAccounting="Lv2"</formula>
    </cfRule>
    <cfRule type="expression" dxfId="80" priority="85" stopIfTrue="1">
      <formula>data_Level_CycleAccounting&lt;&gt;"Lv2"</formula>
    </cfRule>
  </conditionalFormatting>
  <conditionalFormatting sqref="S13">
    <cfRule type="expression" dxfId="79" priority="82" stopIfTrue="1">
      <formula>data_Level_CycleAccounting="Lv2"</formula>
    </cfRule>
    <cfRule type="expression" dxfId="78" priority="83" stopIfTrue="1">
      <formula>data_Level_CycleAccounting&lt;&gt;"Lv2"</formula>
    </cfRule>
  </conditionalFormatting>
  <conditionalFormatting sqref="T13">
    <cfRule type="expression" dxfId="77" priority="80" stopIfTrue="1">
      <formula>data_Level_CycleAccounting="Lv2"</formula>
    </cfRule>
    <cfRule type="expression" dxfId="76" priority="81" stopIfTrue="1">
      <formula>data_Level_CycleAccounting&lt;&gt;"Lv2"</formula>
    </cfRule>
  </conditionalFormatting>
  <conditionalFormatting sqref="U13">
    <cfRule type="expression" dxfId="75" priority="78" stopIfTrue="1">
      <formula>data_Level_CycleAccounting="Lv2"</formula>
    </cfRule>
    <cfRule type="expression" dxfId="74" priority="79" stopIfTrue="1">
      <formula>data_Level_CycleAccounting&lt;&gt;"Lv2"</formula>
    </cfRule>
  </conditionalFormatting>
  <conditionalFormatting sqref="V13">
    <cfRule type="expression" dxfId="73" priority="76" stopIfTrue="1">
      <formula>data_Level_CycleAccounting="Lv2"</formula>
    </cfRule>
    <cfRule type="expression" dxfId="72" priority="77" stopIfTrue="1">
      <formula>data_Level_CycleAccounting&lt;&gt;"Lv2"</formula>
    </cfRule>
  </conditionalFormatting>
  <conditionalFormatting sqref="W13">
    <cfRule type="expression" dxfId="71" priority="74" stopIfTrue="1">
      <formula>data_Level_CycleAccounting="Lv2"</formula>
    </cfRule>
    <cfRule type="expression" dxfId="70" priority="75" stopIfTrue="1">
      <formula>data_Level_CycleAccounting&lt;&gt;"Lv2"</formula>
    </cfRule>
  </conditionalFormatting>
  <conditionalFormatting sqref="X13">
    <cfRule type="expression" dxfId="69" priority="72" stopIfTrue="1">
      <formula>data_Level_CycleAccounting="Lv2"</formula>
    </cfRule>
    <cfRule type="expression" dxfId="68" priority="73" stopIfTrue="1">
      <formula>data_Level_CycleAccounting&lt;&gt;"Lv2"</formula>
    </cfRule>
  </conditionalFormatting>
  <conditionalFormatting sqref="Y13">
    <cfRule type="expression" dxfId="67" priority="70" stopIfTrue="1">
      <formula>data_Level_CycleAccounting="Lv2"</formula>
    </cfRule>
    <cfRule type="expression" dxfId="66" priority="71" stopIfTrue="1">
      <formula>data_Level_CycleAccounting&lt;&gt;"Lv2"</formula>
    </cfRule>
  </conditionalFormatting>
  <conditionalFormatting sqref="Z13">
    <cfRule type="expression" dxfId="65" priority="68" stopIfTrue="1">
      <formula>data_Level_CycleAccounting="Lv2"</formula>
    </cfRule>
    <cfRule type="expression" dxfId="64" priority="69" stopIfTrue="1">
      <formula>data_Level_CycleAccounting&lt;&gt;"Lv2"</formula>
    </cfRule>
  </conditionalFormatting>
  <conditionalFormatting sqref="AA13">
    <cfRule type="expression" dxfId="63" priority="66" stopIfTrue="1">
      <formula>data_Level_CycleAccounting="Lv2"</formula>
    </cfRule>
    <cfRule type="expression" dxfId="62" priority="67" stopIfTrue="1">
      <formula>data_Level_CycleAccounting&lt;&gt;"Lv2"</formula>
    </cfRule>
  </conditionalFormatting>
  <conditionalFormatting sqref="AB13">
    <cfRule type="expression" dxfId="61" priority="64" stopIfTrue="1">
      <formula>data_Level_CycleAccounting="Lv2"</formula>
    </cfRule>
    <cfRule type="expression" dxfId="60" priority="65" stopIfTrue="1">
      <formula>data_Level_CycleAccounting&lt;&gt;"Lv2"</formula>
    </cfRule>
  </conditionalFormatting>
  <conditionalFormatting sqref="AC13">
    <cfRule type="expression" dxfId="59" priority="62" stopIfTrue="1">
      <formula>data_Level_CycleAccounting="Lv2"</formula>
    </cfRule>
    <cfRule type="expression" dxfId="58" priority="63" stopIfTrue="1">
      <formula>data_Level_CycleAccounting&lt;&gt;"Lv2"</formula>
    </cfRule>
  </conditionalFormatting>
  <conditionalFormatting sqref="AD13">
    <cfRule type="expression" dxfId="57" priority="60" stopIfTrue="1">
      <formula>data_Level_CycleAccounting="Lv2"</formula>
    </cfRule>
    <cfRule type="expression" dxfId="56" priority="61" stopIfTrue="1">
      <formula>data_Level_CycleAccounting&lt;&gt;"Lv2"</formula>
    </cfRule>
  </conditionalFormatting>
  <conditionalFormatting sqref="AE13">
    <cfRule type="expression" dxfId="55" priority="58" stopIfTrue="1">
      <formula>data_Level_CycleAccounting="Lv2"</formula>
    </cfRule>
    <cfRule type="expression" dxfId="54" priority="59" stopIfTrue="1">
      <formula>data_Level_CycleAccounting&lt;&gt;"Lv2"</formula>
    </cfRule>
  </conditionalFormatting>
  <conditionalFormatting sqref="AF13">
    <cfRule type="expression" dxfId="53" priority="56" stopIfTrue="1">
      <formula>data_Level_CycleAccounting="Lv2"</formula>
    </cfRule>
    <cfRule type="expression" dxfId="52" priority="57" stopIfTrue="1">
      <formula>data_Level_CycleAccounting&lt;&gt;"Lv2"</formula>
    </cfRule>
  </conditionalFormatting>
  <conditionalFormatting sqref="AG13">
    <cfRule type="expression" dxfId="51" priority="54" stopIfTrue="1">
      <formula>data_Level_CycleAccounting="Lv2"</formula>
    </cfRule>
    <cfRule type="expression" dxfId="50" priority="55" stopIfTrue="1">
      <formula>data_Level_CycleAccounting&lt;&gt;"Lv2"</formula>
    </cfRule>
  </conditionalFormatting>
  <conditionalFormatting sqref="AH13">
    <cfRule type="expression" dxfId="49" priority="52" stopIfTrue="1">
      <formula>data_Level_CycleAccounting="Lv2"</formula>
    </cfRule>
    <cfRule type="expression" dxfId="48" priority="53" stopIfTrue="1">
      <formula>data_Level_CycleAccounting&lt;&gt;"Lv2"</formula>
    </cfRule>
  </conditionalFormatting>
  <conditionalFormatting sqref="AI13">
    <cfRule type="expression" dxfId="47" priority="50" stopIfTrue="1">
      <formula>data_Level_CycleAccounting="Lv2"</formula>
    </cfRule>
    <cfRule type="expression" dxfId="46" priority="51" stopIfTrue="1">
      <formula>data_Level_CycleAccounting&lt;&gt;"Lv2"</formula>
    </cfRule>
  </conditionalFormatting>
  <conditionalFormatting sqref="AJ13">
    <cfRule type="expression" dxfId="45" priority="48" stopIfTrue="1">
      <formula>data_Level_CycleAccounting="Lv2"</formula>
    </cfRule>
    <cfRule type="expression" dxfId="44" priority="49" stopIfTrue="1">
      <formula>data_Level_CycleAccounting&lt;&gt;"Lv2"</formula>
    </cfRule>
  </conditionalFormatting>
  <conditionalFormatting sqref="AK13">
    <cfRule type="expression" dxfId="43" priority="46" stopIfTrue="1">
      <formula>data_Level_CycleAccounting="Lv2"</formula>
    </cfRule>
    <cfRule type="expression" dxfId="42" priority="47" stopIfTrue="1">
      <formula>data_Level_CycleAccounting&lt;&gt;"Lv2"</formula>
    </cfRule>
  </conditionalFormatting>
  <conditionalFormatting sqref="G55:G67">
    <cfRule type="expression" dxfId="41" priority="11" stopIfTrue="1">
      <formula>AND(COUNT($C$55:$P$67)&gt;0,COUNT(G$55:G$67)=0)</formula>
    </cfRule>
    <cfRule type="containsBlanks" priority="28" stopIfTrue="1">
      <formula>LEN(TRIM(G55))=0</formula>
    </cfRule>
  </conditionalFormatting>
  <conditionalFormatting sqref="L55:L67">
    <cfRule type="expression" dxfId="40" priority="10" stopIfTrue="1">
      <formula>AND(COUNT($C$55:$P$67)&gt;0,COUNT(L$55:L$67)=0)</formula>
    </cfRule>
    <cfRule type="containsBlanks" priority="22" stopIfTrue="1">
      <formula>LEN(TRIM(L55))=0</formula>
    </cfRule>
  </conditionalFormatting>
  <conditionalFormatting sqref="O55:O67">
    <cfRule type="expression" dxfId="39" priority="18" stopIfTrue="1">
      <formula>AND(COUNT($C$55:$P$67)&gt;0,COUNT(O$55:O$67)=0)</formula>
    </cfRule>
    <cfRule type="containsBlanks" priority="19" stopIfTrue="1">
      <formula>LEN(TRIM(O55))=0</formula>
    </cfRule>
  </conditionalFormatting>
  <conditionalFormatting sqref="P55:P67">
    <cfRule type="expression" dxfId="38" priority="16" stopIfTrue="1">
      <formula>AND(COUNT($C$55:$P$67)&gt;0,COUNT(P$55:P$67)=0)</formula>
    </cfRule>
    <cfRule type="containsBlanks" priority="17" stopIfTrue="1">
      <formula>LEN(TRIM(P55))=0</formula>
    </cfRule>
  </conditionalFormatting>
  <conditionalFormatting sqref="I34:I46">
    <cfRule type="expression" dxfId="37" priority="39" stopIfTrue="1">
      <formula>AND(COUNT($C$34:$Q$46)&gt;0,COUNT(I$34:I$46)=0)</formula>
    </cfRule>
    <cfRule type="containsBlanks" priority="40" stopIfTrue="1">
      <formula>LEN(TRIM(I34))=0</formula>
    </cfRule>
  </conditionalFormatting>
  <conditionalFormatting sqref="G34:G46">
    <cfRule type="expression" dxfId="36" priority="1282" stopIfTrue="1">
      <formula>AND(COUNT($C$34:$P$46)&gt;0,COUNT(G$34:G$46)=0)</formula>
    </cfRule>
    <cfRule type="containsBlanks" priority="1288" stopIfTrue="1">
      <formula>LEN(TRIM(G34))=0</formula>
    </cfRule>
  </conditionalFormatting>
  <conditionalFormatting sqref="C55:C67">
    <cfRule type="expression" dxfId="35" priority="791" stopIfTrue="1">
      <formula>AND(COUNT($C$55:$P$67)&gt;0,COUNT(C$55:C$67)=0)</formula>
    </cfRule>
    <cfRule type="containsBlanks" priority="793" stopIfTrue="1">
      <formula>LEN(TRIM(C55))=0</formula>
    </cfRule>
  </conditionalFormatting>
  <conditionalFormatting sqref="H34:H46">
    <cfRule type="expression" dxfId="34" priority="41" stopIfTrue="1">
      <formula>AND(COUNT($C$34:$Q$46)&gt;0,COUNT(H$34:H$46)=0)</formula>
    </cfRule>
    <cfRule type="containsBlanks" priority="42" stopIfTrue="1">
      <formula>LEN(TRIM(H34))=0</formula>
    </cfRule>
  </conditionalFormatting>
  <conditionalFormatting sqref="P34:P46">
    <cfRule type="expression" dxfId="33" priority="32" stopIfTrue="1">
      <formula>AND(COUNT($C$34:$Q$46)&gt;0,COUNT(P$34:P$46)=0)</formula>
    </cfRule>
    <cfRule type="containsBlanks" priority="33" stopIfTrue="1">
      <formula>LEN(TRIM(P34))=0</formula>
    </cfRule>
  </conditionalFormatting>
  <conditionalFormatting sqref="F55:F67">
    <cfRule type="expression" dxfId="32" priority="29" stopIfTrue="1">
      <formula>AND(COUNT($C$55:$P$67)&gt;0,COUNT(F$55:F$67)=0)</formula>
    </cfRule>
    <cfRule type="containsBlanks" priority="30" stopIfTrue="1">
      <formula>LEN(TRIM(F55))=0</formula>
    </cfRule>
  </conditionalFormatting>
  <conditionalFormatting sqref="K55:K67">
    <cfRule type="expression" dxfId="31" priority="23" stopIfTrue="1">
      <formula>AND(COUNT($C$55:$P$67)&gt;0,COUNT(K$55:K$67)=0)</formula>
    </cfRule>
    <cfRule type="containsBlanks" priority="24" stopIfTrue="1">
      <formula>LEN(TRIM(K55))=0</formula>
    </cfRule>
  </conditionalFormatting>
  <conditionalFormatting sqref="D34:D46">
    <cfRule type="expression" dxfId="30" priority="45">
      <formula>AND(COUNT($C$34:$P$46)&gt;0,COUNT(D$34:D$46)=0)</formula>
    </cfRule>
  </conditionalFormatting>
  <conditionalFormatting sqref="E34:E46">
    <cfRule type="expression" dxfId="29" priority="44">
      <formula>AND(COUNT($C$34:$P$46)&gt;0,COUNT(E$34:E$46)=0)</formula>
    </cfRule>
  </conditionalFormatting>
  <conditionalFormatting sqref="F34:F46">
    <cfRule type="expression" dxfId="28" priority="43">
      <formula>AND(COUNT($C$34:$P$46)&gt;0,COUNT(F$34:F$46)=0)</formula>
    </cfRule>
  </conditionalFormatting>
  <conditionalFormatting sqref="J34:J46">
    <cfRule type="expression" dxfId="27" priority="38">
      <formula>AND(COUNT($C$34:$Q$46)&gt;0,COUNT(J$34:J$46)=0)</formula>
    </cfRule>
  </conditionalFormatting>
  <conditionalFormatting sqref="K34:K46">
    <cfRule type="expression" dxfId="26" priority="37">
      <formula>AND(COUNT($C$34:$Q$46)&gt;0,COUNT(K$34:K$46)=0)</formula>
    </cfRule>
  </conditionalFormatting>
  <conditionalFormatting sqref="M34:M46">
    <cfRule type="expression" dxfId="25" priority="36">
      <formula>AND(COUNT($C$34:$Q$46)&gt;0,COUNT(M$34:M$46)=0)</formula>
    </cfRule>
  </conditionalFormatting>
  <conditionalFormatting sqref="N34:N46">
    <cfRule type="expression" dxfId="24" priority="35">
      <formula>AND(COUNT($C$34:$Q$46)&gt;0,COUNT(N$34:N$46)=0)</formula>
    </cfRule>
  </conditionalFormatting>
  <conditionalFormatting sqref="O34:O46">
    <cfRule type="expression" dxfId="23" priority="34">
      <formula>AND(COUNT($C$34:$Q$46)&gt;0,COUNT(O$34:O$46)=0)</formula>
    </cfRule>
  </conditionalFormatting>
  <conditionalFormatting sqref="E55:E67">
    <cfRule type="expression" dxfId="22" priority="31">
      <formula>AND(COUNT($C$55:$P$67)&gt;0,COUNT(E$55:E$67)=0)</formula>
    </cfRule>
  </conditionalFormatting>
  <conditionalFormatting sqref="H55:H67">
    <cfRule type="expression" dxfId="21" priority="27">
      <formula>AND(COUNT($C$55:$P$67)&gt;0,COUNT(H$55:H$67)=0)</formula>
    </cfRule>
  </conditionalFormatting>
  <conditionalFormatting sqref="I55:I67">
    <cfRule type="expression" dxfId="20" priority="26">
      <formula>AND(COUNT($C$55:$P$67)&gt;0,COUNT(I$55:I$67)=0)</formula>
    </cfRule>
  </conditionalFormatting>
  <conditionalFormatting sqref="J55:J67">
    <cfRule type="expression" dxfId="19" priority="25">
      <formula>AND(COUNT($C$55:$P$67)&gt;0,COUNT(J$55:J$67)=0)</formula>
    </cfRule>
  </conditionalFormatting>
  <conditionalFormatting sqref="M55:M67">
    <cfRule type="expression" dxfId="18" priority="21">
      <formula>AND(COUNT($C$55:$P$67)&gt;0,COUNT(M$55:M$67)=0)</formula>
    </cfRule>
  </conditionalFormatting>
  <conditionalFormatting sqref="N55:N67">
    <cfRule type="expression" dxfId="17" priority="20">
      <formula>AND(COUNT($C$55:$P$67)&gt;0,COUNT(N$55:N$67)=0)</formula>
    </cfRule>
  </conditionalFormatting>
  <conditionalFormatting sqref="M114:S114 M113 Q113:S113">
    <cfRule type="dataBar" priority="15">
      <dataBar>
        <cfvo type="min"/>
        <cfvo type="max"/>
        <color rgb="FF638EC6"/>
      </dataBar>
      <extLst>
        <ext xmlns:x14="http://schemas.microsoft.com/office/spreadsheetml/2009/9/main" uri="{B025F937-C7B1-47D3-B67F-A62EFF666E3E}">
          <x14:id>{208D7603-DBDD-4CB2-BBBB-A436AC5DDCED}</x14:id>
        </ext>
      </extLst>
    </cfRule>
  </conditionalFormatting>
  <conditionalFormatting sqref="C114:I114">
    <cfRule type="dataBar" priority="14">
      <dataBar>
        <cfvo type="min"/>
        <cfvo type="max"/>
        <color rgb="FF638EC6"/>
      </dataBar>
      <extLst>
        <ext xmlns:x14="http://schemas.microsoft.com/office/spreadsheetml/2009/9/main" uri="{B025F937-C7B1-47D3-B67F-A62EFF666E3E}">
          <x14:id>{B34F3EAD-7CE9-419B-B59D-3FAEB7D46859}</x14:id>
        </ext>
      </extLst>
    </cfRule>
  </conditionalFormatting>
  <conditionalFormatting sqref="G115:I115 C115">
    <cfRule type="dataBar" priority="13">
      <dataBar>
        <cfvo type="min"/>
        <cfvo type="max"/>
        <color rgb="FF638EC6"/>
      </dataBar>
      <extLst>
        <ext xmlns:x14="http://schemas.microsoft.com/office/spreadsheetml/2009/9/main" uri="{B025F937-C7B1-47D3-B67F-A62EFF666E3E}">
          <x14:id>{32545C2A-02B3-439E-839C-25236623F308}</x14:id>
        </ext>
      </extLst>
    </cfRule>
  </conditionalFormatting>
  <conditionalFormatting sqref="L14:L26">
    <cfRule type="expression" dxfId="16" priority="12">
      <formula>AND(COUNT($C$14:$N$26)&gt;0,COUNT(L$14:L$26)=0)</formula>
    </cfRule>
  </conditionalFormatting>
  <conditionalFormatting sqref="I54">
    <cfRule type="expression" dxfId="15" priority="8">
      <formula>data_Level_Cache="Lv2"</formula>
    </cfRule>
    <cfRule type="expression" dxfId="14" priority="9">
      <formula>data_Level_Cache&lt;&gt;"Lv2"</formula>
    </cfRule>
  </conditionalFormatting>
  <conditionalFormatting sqref="N54">
    <cfRule type="expression" dxfId="13" priority="2">
      <formula>data_Level_Cache="Lv2"</formula>
    </cfRule>
    <cfRule type="expression" dxfId="12" priority="3">
      <formula>data_Level_Cache&lt;&gt;"Lv2"</formula>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M114:S114 M113 Q113:S113</xm:sqref>
        </x14:conditionalFormatting>
        <x14:conditionalFormatting xmlns:xm="http://schemas.microsoft.com/office/excel/2006/main">
          <x14:cfRule type="dataBar" id="{B34F3EAD-7CE9-419B-B59D-3FAEB7D46859}">
            <x14:dataBar minLength="0" maxLength="100" border="1" negativeBarBorderColorSameAsPositive="0">
              <x14:cfvo type="autoMin"/>
              <x14:cfvo type="autoMax"/>
              <x14:borderColor rgb="FF638EC6"/>
              <x14:negativeFillColor rgb="FFFF0000"/>
              <x14:negativeBorderColor rgb="FFFF0000"/>
              <x14:axisColor rgb="FF000000"/>
            </x14:dataBar>
          </x14:cfRule>
          <xm:sqref>C114:I114</xm:sqref>
        </x14:conditionalFormatting>
        <x14:conditionalFormatting xmlns:xm="http://schemas.microsoft.com/office/excel/2006/main">
          <x14:cfRule type="dataBar" id="{32545C2A-02B3-439E-839C-25236623F308}">
            <x14:dataBar minLength="0" maxLength="100" border="1" negativeBarBorderColorSameAsPositive="0">
              <x14:cfvo type="autoMin"/>
              <x14:cfvo type="autoMax"/>
              <x14:borderColor rgb="FF638EC6"/>
              <x14:negativeFillColor rgb="FFFF0000"/>
              <x14:negativeBorderColor rgb="FFFF0000"/>
              <x14:axisColor rgb="FF000000"/>
            </x14:dataBar>
          </x14:cfRule>
          <xm:sqref>G115:I115 C115</xm:sqref>
        </x14:conditionalFormatting>
        <x14:conditionalFormatting xmlns:xm="http://schemas.microsoft.com/office/excel/2006/main">
          <x14:cfRule type="expression" priority="1294"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0"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7" stopIfTrue="1" operator="lessThanOrEqual" id="{43EDA337-44F7-488A-AA40-325B1DF8AA4E}">
            <xm:f>data!$S$14</xm:f>
            <x14:dxf/>
          </x14:cfRule>
          <xm:sqref>L55:L67</xm:sqref>
        </x14:conditionalFormatting>
        <x14:conditionalFormatting xmlns:xm="http://schemas.microsoft.com/office/excel/2006/main">
          <x14:cfRule type="cellIs" priority="1279"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0"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1" stopIfTrue="1" operator="lessThanOrEqual" id="{AEC5FF6E-774D-4565-8A4C-82CEF81ACBC6}">
            <xm:f>data!$S$11</xm:f>
            <x14:dxf/>
          </x14:cfRule>
          <xm:sqref>G55:G67</xm:sqref>
        </x14:conditionalFormatting>
        <x14:conditionalFormatting xmlns:xm="http://schemas.microsoft.com/office/excel/2006/main">
          <x14:cfRule type="cellIs" priority="1361"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7"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2"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39"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1"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2"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8"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5"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5" zoomScaleNormal="85" workbookViewId="0"/>
  </sheetViews>
  <sheetFormatPr defaultColWidth="8.75" defaultRowHeight="15.75" x14ac:dyDescent="0.15"/>
  <cols>
    <col min="1" max="1" width="2.875" style="284" customWidth="1"/>
    <col min="2" max="2" width="32.75" style="284" customWidth="1"/>
    <col min="3" max="3" width="14.625" style="284" bestFit="1" customWidth="1"/>
    <col min="4" max="4" width="40.375" style="284" bestFit="1" customWidth="1"/>
    <col min="5" max="5" width="2.875" style="284" customWidth="1"/>
    <col min="6" max="6" width="23.375" style="284" bestFit="1" customWidth="1"/>
    <col min="7" max="7" width="18" style="284" bestFit="1" customWidth="1"/>
    <col min="8" max="8" width="3" style="284" customWidth="1"/>
    <col min="9" max="9" width="2.75" style="284" customWidth="1"/>
    <col min="10" max="10" width="11.75" style="284" customWidth="1"/>
    <col min="11" max="11" width="15.25" style="284" bestFit="1" customWidth="1"/>
    <col min="12" max="12" width="16" style="284" customWidth="1"/>
    <col min="13" max="13" width="2.625" style="284" customWidth="1"/>
    <col min="14" max="14" width="20.875" style="284" customWidth="1"/>
    <col min="15" max="15" width="8.75" style="284" customWidth="1"/>
    <col min="16" max="16" width="2.5" style="284" customWidth="1"/>
    <col min="17" max="17" width="13.625" style="284" bestFit="1" customWidth="1"/>
    <col min="18" max="18" width="14.625" style="284" bestFit="1" customWidth="1"/>
    <col min="19" max="19" width="10.625" style="284" bestFit="1" customWidth="1"/>
    <col min="20" max="20" width="2.875" style="284" customWidth="1"/>
    <col min="21" max="22" width="10.375" style="284" customWidth="1"/>
    <col min="23" max="23" width="3.25" style="284" customWidth="1"/>
    <col min="24" max="24" width="23.25" style="284" customWidth="1"/>
    <col min="25" max="25" width="10.25" style="284" bestFit="1" customWidth="1"/>
    <col min="26" max="26" width="23.75" style="284" customWidth="1"/>
    <col min="27" max="27" width="2.5" style="284" customWidth="1"/>
    <col min="28" max="28" width="13.5" style="284" customWidth="1"/>
    <col min="29" max="29" width="17.5" style="284" customWidth="1"/>
    <col min="30" max="30" width="8.25" style="284" bestFit="1" customWidth="1"/>
    <col min="31" max="31" width="8" style="284" bestFit="1" customWidth="1"/>
    <col min="32" max="32" width="10.125" style="284" bestFit="1" customWidth="1"/>
    <col min="33" max="33" width="11.625" style="284" bestFit="1" customWidth="1"/>
    <col min="34" max="34" width="17" style="284" bestFit="1" customWidth="1"/>
    <col min="35" max="35" width="17.25" style="284" bestFit="1" customWidth="1"/>
    <col min="36" max="36" width="9" style="284" bestFit="1" customWidth="1"/>
    <col min="37" max="37" width="14" style="284" bestFit="1" customWidth="1"/>
    <col min="38" max="38" width="17" style="284" bestFit="1" customWidth="1"/>
    <col min="39" max="39" width="23.25" style="284" bestFit="1" customWidth="1"/>
    <col min="40" max="40" width="22.875" style="284" bestFit="1" customWidth="1"/>
    <col min="41" max="41" width="21.875" style="284" bestFit="1" customWidth="1"/>
    <col min="42" max="42" width="18.125" style="284" bestFit="1" customWidth="1"/>
    <col min="43" max="43" width="17.75" style="284" bestFit="1" customWidth="1"/>
    <col min="44" max="44" width="28.125" style="284" customWidth="1"/>
    <col min="45" max="45" width="25.125" style="284" bestFit="1" customWidth="1"/>
    <col min="46" max="46" width="23" style="284" bestFit="1" customWidth="1"/>
    <col min="47" max="47" width="18.375" style="284" bestFit="1" customWidth="1"/>
    <col min="48" max="48" width="8.25" style="284" bestFit="1" customWidth="1"/>
    <col min="49" max="49" width="10.5" style="284" bestFit="1" customWidth="1"/>
    <col min="50" max="50" width="8.875" style="284" bestFit="1" customWidth="1"/>
    <col min="51" max="51" width="11.625" style="284" bestFit="1" customWidth="1"/>
    <col min="52" max="52" width="16.25" style="284" bestFit="1" customWidth="1"/>
    <col min="53" max="53" width="17.25" style="284" bestFit="1" customWidth="1"/>
    <col min="54" max="54" width="9" style="284" bestFit="1" customWidth="1"/>
    <col min="55" max="55" width="12" style="284" bestFit="1" customWidth="1"/>
    <col min="56" max="56" width="14.5" style="284" bestFit="1" customWidth="1"/>
    <col min="57" max="58" width="17" style="284" bestFit="1" customWidth="1"/>
    <col min="59" max="59" width="17.875" style="284" bestFit="1" customWidth="1"/>
    <col min="60" max="60" width="29.375" style="284" bestFit="1" customWidth="1"/>
    <col min="61" max="61" width="17.75" style="284" bestFit="1" customWidth="1"/>
    <col min="62" max="62" width="13.375" style="284" bestFit="1" customWidth="1"/>
    <col min="63" max="63" width="25.5" style="284" bestFit="1" customWidth="1"/>
    <col min="64" max="64" width="18.875" style="284" bestFit="1" customWidth="1"/>
    <col min="65" max="65" width="20.5" style="284" bestFit="1" customWidth="1"/>
    <col min="66" max="66" width="8.25" style="284" bestFit="1" customWidth="1"/>
    <col min="67" max="67" width="7.875" style="284" bestFit="1" customWidth="1"/>
    <col min="68" max="68" width="8.75" style="284" bestFit="1" customWidth="1"/>
    <col min="69" max="69" width="8.25" style="284" bestFit="1" customWidth="1"/>
    <col min="70" max="70" width="15" style="284" bestFit="1" customWidth="1"/>
    <col min="71" max="71" width="17.125" style="284" bestFit="1" customWidth="1"/>
    <col min="72" max="72" width="9" style="284" bestFit="1" customWidth="1"/>
    <col min="73" max="73" width="12" style="284" bestFit="1" customWidth="1"/>
    <col min="74" max="74" width="14.5" style="284" bestFit="1" customWidth="1"/>
    <col min="75" max="75" width="16" style="284" bestFit="1" customWidth="1"/>
    <col min="76" max="76" width="15.875" style="284" bestFit="1" customWidth="1"/>
    <col min="77" max="77" width="14.625" style="284" bestFit="1" customWidth="1"/>
    <col min="78" max="78" width="31.75" style="284" bestFit="1" customWidth="1"/>
    <col min="79" max="79" width="14.625" style="284" bestFit="1" customWidth="1"/>
    <col min="80" max="80" width="21" style="284" bestFit="1" customWidth="1"/>
    <col min="81" max="81" width="14.625" style="284" bestFit="1" customWidth="1"/>
    <col min="82" max="82" width="21" style="284" bestFit="1" customWidth="1"/>
    <col min="83" max="83" width="20.5" style="284" bestFit="1" customWidth="1"/>
    <col min="84" max="84" width="8.25" style="284" bestFit="1" customWidth="1"/>
    <col min="85" max="85" width="7.875" style="284" bestFit="1" customWidth="1"/>
    <col min="86" max="86" width="8.75" style="284" bestFit="1" customWidth="1"/>
    <col min="87" max="87" width="8.25" style="284" bestFit="1" customWidth="1"/>
    <col min="88" max="88" width="15" style="284" bestFit="1" customWidth="1"/>
    <col min="89" max="89" width="17.125" style="284" bestFit="1" customWidth="1"/>
    <col min="90" max="90" width="8.125" style="284" bestFit="1" customWidth="1"/>
    <col min="91" max="91" width="12.125" style="284" bestFit="1" customWidth="1"/>
    <col min="92" max="92" width="14.625" style="284" bestFit="1" customWidth="1"/>
    <col min="93" max="93" width="16.5" style="284" bestFit="1" customWidth="1"/>
    <col min="94" max="94" width="21.75" style="284" bestFit="1" customWidth="1"/>
    <col min="95" max="95" width="26.25" style="284" bestFit="1" customWidth="1"/>
    <col min="96" max="96" width="21.75" style="284" bestFit="1" customWidth="1"/>
    <col min="97" max="97" width="26.25" style="284" bestFit="1" customWidth="1"/>
    <col min="98" max="98" width="25" style="284" bestFit="1" customWidth="1"/>
    <col min="99" max="99" width="26.25" style="284" bestFit="1" customWidth="1"/>
    <col min="100" max="100" width="28.125" style="284" bestFit="1" customWidth="1"/>
    <col min="101" max="101" width="20.5" style="284" bestFit="1" customWidth="1"/>
    <col min="102" max="102" width="8.25" style="284" bestFit="1" customWidth="1"/>
    <col min="103" max="103" width="7.875" style="284" bestFit="1" customWidth="1"/>
    <col min="104" max="104" width="8.75" style="284" bestFit="1" customWidth="1"/>
    <col min="105" max="105" width="8.25" style="284" bestFit="1" customWidth="1"/>
    <col min="106" max="106" width="15" style="284" bestFit="1" customWidth="1"/>
    <col min="107" max="107" width="17.125" style="284" bestFit="1" customWidth="1"/>
    <col min="108" max="108" width="8.125" style="284" bestFit="1" customWidth="1"/>
    <col min="109" max="109" width="12.125" style="284" bestFit="1" customWidth="1"/>
    <col min="110" max="111" width="14.625" style="284" bestFit="1" customWidth="1"/>
    <col min="112" max="112" width="15.5" style="284" bestFit="1" customWidth="1"/>
    <col min="113" max="113" width="17.75" style="284" bestFit="1" customWidth="1"/>
    <col min="114" max="114" width="14.625" style="284" bestFit="1" customWidth="1"/>
    <col min="115" max="115" width="10.875" style="284" bestFit="1" customWidth="1"/>
    <col min="116" max="116" width="20.5" style="284" bestFit="1" customWidth="1"/>
    <col min="117" max="117" width="20.625" style="284" bestFit="1" customWidth="1"/>
    <col min="118" max="118" width="13.375" style="284" bestFit="1" customWidth="1"/>
    <col min="119" max="119" width="20.5" style="284" bestFit="1" customWidth="1"/>
    <col min="120" max="120" width="7.25" style="284" bestFit="1" customWidth="1"/>
    <col min="121" max="121" width="7.875" style="284" bestFit="1" customWidth="1"/>
    <col min="122" max="122" width="8.75" style="284" bestFit="1" customWidth="1"/>
    <col min="123" max="123" width="8.25" style="284" bestFit="1" customWidth="1"/>
    <col min="124" max="124" width="15" style="284" bestFit="1" customWidth="1"/>
    <col min="125" max="125" width="17.125" style="284" bestFit="1" customWidth="1"/>
    <col min="126" max="126" width="8.125" style="284" bestFit="1" customWidth="1"/>
    <col min="127" max="127" width="10.5" style="284" bestFit="1" customWidth="1"/>
    <col min="128" max="128" width="12.75" style="284" bestFit="1" customWidth="1"/>
    <col min="129" max="129" width="21.75" style="284" bestFit="1" customWidth="1"/>
    <col min="130" max="130" width="27.75" style="284" bestFit="1" customWidth="1"/>
    <col min="131" max="131" width="31.75" style="284" bestFit="1" customWidth="1"/>
    <col min="132" max="132" width="27.75" style="284" bestFit="1" customWidth="1"/>
    <col min="133" max="133" width="31.75" style="284" bestFit="1" customWidth="1"/>
    <col min="134" max="134" width="33.5" style="284" bestFit="1" customWidth="1"/>
    <col min="135" max="135" width="36.5" style="284" bestFit="1" customWidth="1"/>
    <col min="136" max="136" width="17.625" style="284" bestFit="1" customWidth="1"/>
    <col min="137" max="137" width="20.5" style="284" bestFit="1" customWidth="1"/>
    <col min="138" max="138" width="7.25" style="284" bestFit="1" customWidth="1"/>
    <col min="139" max="139" width="7.875" style="284" bestFit="1" customWidth="1"/>
    <col min="140" max="140" width="8.75" style="284" bestFit="1" customWidth="1"/>
    <col min="141" max="141" width="8.25" style="284" bestFit="1" customWidth="1"/>
    <col min="142" max="142" width="15" style="284" bestFit="1" customWidth="1"/>
    <col min="143" max="143" width="17.125" style="284" bestFit="1" customWidth="1"/>
    <col min="144" max="144" width="8.125" style="284" bestFit="1" customWidth="1"/>
    <col min="145" max="145" width="10.5" style="284" bestFit="1" customWidth="1"/>
    <col min="146" max="146" width="12.75" style="284" bestFit="1" customWidth="1"/>
    <col min="147" max="149" width="16.875" style="284" bestFit="1" customWidth="1"/>
    <col min="150" max="150" width="18" style="284" bestFit="1" customWidth="1"/>
    <col min="151" max="151" width="27.25" style="284" bestFit="1" customWidth="1"/>
    <col min="152" max="154" width="25" style="284" customWidth="1"/>
    <col min="155" max="155" width="20.5" style="284" bestFit="1" customWidth="1"/>
    <col min="156" max="156" width="7.25" style="284" bestFit="1" customWidth="1"/>
    <col min="157" max="157" width="7.875" style="284" bestFit="1" customWidth="1"/>
    <col min="158" max="158" width="8.75" style="284" bestFit="1" customWidth="1"/>
    <col min="159" max="159" width="8.25" style="284" bestFit="1" customWidth="1"/>
    <col min="160" max="160" width="15" style="284" bestFit="1" customWidth="1"/>
    <col min="161" max="161" width="17.125" style="284" bestFit="1" customWidth="1"/>
    <col min="162" max="162" width="8.125" style="284" bestFit="1" customWidth="1"/>
    <col min="163" max="163" width="10.5" style="284" bestFit="1" customWidth="1"/>
    <col min="164" max="164" width="12.75" style="284" bestFit="1" customWidth="1"/>
    <col min="165" max="165" width="10.5" style="284" bestFit="1" customWidth="1"/>
    <col min="166" max="167" width="11.625" style="284" bestFit="1" customWidth="1"/>
    <col min="168" max="168" width="13.75" style="284" bestFit="1" customWidth="1"/>
    <col min="169" max="170" width="12.75" style="284" bestFit="1" customWidth="1"/>
    <col min="171" max="171" width="13.375" style="284" bestFit="1" customWidth="1"/>
    <col min="172" max="172" width="12.125" style="284" bestFit="1" customWidth="1"/>
    <col min="173" max="173" width="20.5" style="284" bestFit="1" customWidth="1"/>
    <col min="174" max="174" width="7.25" style="284" bestFit="1" customWidth="1"/>
    <col min="175" max="175" width="7.875" style="284" bestFit="1" customWidth="1"/>
    <col min="176" max="176" width="8.75" style="284" bestFit="1" customWidth="1"/>
    <col min="177" max="177" width="8.25" style="284" bestFit="1" customWidth="1"/>
    <col min="178" max="178" width="15" style="284" bestFit="1" customWidth="1"/>
    <col min="179" max="179" width="17.125" style="284" bestFit="1" customWidth="1"/>
    <col min="180" max="180" width="8.125" style="284" bestFit="1" customWidth="1"/>
    <col min="181" max="181" width="10.5" style="284" bestFit="1" customWidth="1"/>
    <col min="182" max="182" width="12.75" style="284" bestFit="1" customWidth="1"/>
    <col min="183" max="183" width="26.875" style="284" bestFit="1" customWidth="1"/>
    <col min="184" max="184" width="30.5" style="284" bestFit="1" customWidth="1"/>
    <col min="185" max="185" width="26.875" style="284" bestFit="1" customWidth="1"/>
    <col min="186" max="186" width="30.5" style="284" bestFit="1" customWidth="1"/>
    <col min="187" max="188" width="18.5" style="284" bestFit="1" customWidth="1"/>
    <col min="189" max="189" width="21" style="284" bestFit="1" customWidth="1"/>
    <col min="190" max="190" width="28.125" style="284" bestFit="1" customWidth="1"/>
    <col min="191" max="191" width="20.5" style="284" bestFit="1" customWidth="1"/>
    <col min="192" max="192" width="7.25" style="284" bestFit="1" customWidth="1"/>
    <col min="193" max="193" width="7.875" style="284" bestFit="1" customWidth="1"/>
    <col min="194" max="194" width="8.75" style="284" bestFit="1" customWidth="1"/>
    <col min="195" max="195" width="8.25" style="284" bestFit="1" customWidth="1"/>
    <col min="196" max="196" width="15" style="284" bestFit="1" customWidth="1"/>
    <col min="197" max="197" width="17.125" style="284" bestFit="1" customWidth="1"/>
    <col min="198" max="198" width="8.125" style="284" bestFit="1" customWidth="1"/>
    <col min="199" max="199" width="10.5" style="284" bestFit="1" customWidth="1"/>
    <col min="200" max="200" width="12.75" style="284" bestFit="1" customWidth="1"/>
    <col min="201" max="202" width="22.125" style="284" bestFit="1" customWidth="1"/>
    <col min="203" max="203" width="17.75" style="284" bestFit="1" customWidth="1"/>
    <col min="204" max="204" width="26.25" style="284" bestFit="1" customWidth="1"/>
    <col min="205" max="205" width="26" style="284" bestFit="1" customWidth="1"/>
    <col min="206" max="206" width="14.625" style="284" bestFit="1" customWidth="1"/>
    <col min="207" max="207" width="21.625" style="284" bestFit="1" customWidth="1"/>
    <col min="208" max="208" width="10.5" style="284" bestFit="1" customWidth="1"/>
    <col min="209" max="209" width="20.5" style="284" bestFit="1" customWidth="1"/>
    <col min="210" max="210" width="7.25" style="284" bestFit="1" customWidth="1"/>
    <col min="211" max="211" width="7.875" style="284" bestFit="1" customWidth="1"/>
    <col min="212" max="212" width="8.75" style="284" bestFit="1" customWidth="1"/>
    <col min="213" max="213" width="8.25" style="284" bestFit="1" customWidth="1"/>
    <col min="214" max="214" width="15" style="284" bestFit="1" customWidth="1"/>
    <col min="215" max="215" width="17.125" style="284" bestFit="1" customWidth="1"/>
    <col min="216" max="216" width="8.125" style="284" bestFit="1" customWidth="1"/>
    <col min="217" max="217" width="10.5" style="284" bestFit="1" customWidth="1"/>
    <col min="218" max="218" width="12.75" style="284" bestFit="1" customWidth="1"/>
    <col min="219" max="219" width="28.25" style="284" bestFit="1" customWidth="1"/>
    <col min="220" max="220" width="28.375" style="284" bestFit="1" customWidth="1"/>
    <col min="221" max="221" width="15.25" style="284" bestFit="1" customWidth="1"/>
    <col min="222" max="222" width="14.25" style="284" bestFit="1" customWidth="1"/>
    <col min="223" max="223" width="13.875" style="284" bestFit="1" customWidth="1"/>
    <col min="224" max="224" width="11.5" style="284" bestFit="1" customWidth="1"/>
    <col min="225" max="225" width="13.75" style="284" bestFit="1" customWidth="1"/>
    <col min="226" max="226" width="14.25" style="284" bestFit="1" customWidth="1"/>
    <col min="227" max="227" width="20.5" style="284" bestFit="1" customWidth="1"/>
    <col min="228" max="228" width="7.25" style="284" bestFit="1" customWidth="1"/>
    <col min="229" max="229" width="7.875" style="284" bestFit="1" customWidth="1"/>
    <col min="230" max="230" width="8.75" style="284" bestFit="1" customWidth="1"/>
    <col min="231" max="231" width="8.25" style="284" bestFit="1" customWidth="1"/>
    <col min="232" max="232" width="15" style="284" bestFit="1" customWidth="1"/>
    <col min="233" max="233" width="17.125" style="284" bestFit="1" customWidth="1"/>
    <col min="234" max="234" width="8.125" style="284" bestFit="1" customWidth="1"/>
    <col min="235" max="235" width="10.5" style="284" bestFit="1" customWidth="1"/>
    <col min="236" max="237" width="12.75" style="284" bestFit="1" customWidth="1"/>
    <col min="238" max="238" width="21.875" style="284" bestFit="1" customWidth="1"/>
    <col min="239" max="239" width="29.75" style="284" bestFit="1" customWidth="1"/>
    <col min="240" max="240" width="12.75" style="284" bestFit="1" customWidth="1"/>
    <col min="241" max="241" width="15.5" style="284" bestFit="1" customWidth="1"/>
    <col min="242" max="242" width="10.5" style="284" bestFit="1" customWidth="1"/>
    <col min="243" max="244" width="8" style="284" bestFit="1" customWidth="1"/>
    <col min="245" max="245" width="20.5" style="284" bestFit="1" customWidth="1"/>
    <col min="246" max="246" width="7.25" style="284" bestFit="1" customWidth="1"/>
    <col min="247" max="247" width="7.875" style="284" bestFit="1" customWidth="1"/>
    <col min="248" max="248" width="8.75" style="284" bestFit="1" customWidth="1"/>
    <col min="249" max="249" width="8.25" style="284" bestFit="1" customWidth="1"/>
    <col min="250" max="250" width="15" style="284" bestFit="1" customWidth="1"/>
    <col min="251" max="251" width="17.125" style="284" bestFit="1" customWidth="1"/>
    <col min="252" max="252" width="8.125" style="284" bestFit="1" customWidth="1"/>
    <col min="253" max="253" width="10.5" style="284" bestFit="1" customWidth="1"/>
    <col min="254" max="254" width="12.75" style="284" bestFit="1" customWidth="1"/>
    <col min="255" max="256" width="23.375" style="284" bestFit="1" customWidth="1"/>
    <col min="257" max="257" width="22.75" style="284" bestFit="1" customWidth="1"/>
    <col min="258" max="258" width="18.625" style="284" bestFit="1" customWidth="1"/>
    <col min="259" max="259" width="10.625" style="284" bestFit="1" customWidth="1"/>
    <col min="260" max="260" width="12.375" style="284" bestFit="1" customWidth="1"/>
    <col min="261" max="261" width="15.625" style="284" bestFit="1" customWidth="1"/>
    <col min="262" max="262" width="8" style="284" bestFit="1" customWidth="1"/>
    <col min="263" max="263" width="20.5" style="284" bestFit="1" customWidth="1"/>
    <col min="264" max="264" width="7.25" style="284" bestFit="1" customWidth="1"/>
    <col min="265" max="265" width="7.875" style="284" bestFit="1" customWidth="1"/>
    <col min="266" max="266" width="8.75" style="284" bestFit="1" customWidth="1"/>
    <col min="267" max="267" width="8.25" style="284" bestFit="1" customWidth="1"/>
    <col min="268" max="268" width="15" style="284" bestFit="1" customWidth="1"/>
    <col min="269" max="269" width="17.125" style="284" bestFit="1" customWidth="1"/>
    <col min="270" max="270" width="8.125" style="284" bestFit="1" customWidth="1"/>
    <col min="271" max="271" width="10.5" style="284" bestFit="1" customWidth="1"/>
    <col min="272" max="272" width="12.75" style="284" bestFit="1" customWidth="1"/>
    <col min="273" max="273" width="22.75" style="284" bestFit="1" customWidth="1"/>
    <col min="274" max="274" width="26" style="284" bestFit="1" customWidth="1"/>
    <col min="275" max="275" width="29" style="284" bestFit="1" customWidth="1"/>
    <col min="276" max="276" width="22.75" style="284" bestFit="1" customWidth="1"/>
    <col min="277" max="277" width="26" style="284" bestFit="1" customWidth="1"/>
    <col min="278" max="278" width="29" style="284" bestFit="1" customWidth="1"/>
    <col min="279" max="279" width="17.75" style="284" bestFit="1" customWidth="1"/>
    <col min="280" max="280" width="8" style="284" bestFit="1" customWidth="1"/>
    <col min="281" max="281" width="20.5" style="284" bestFit="1" customWidth="1"/>
    <col min="282" max="282" width="7.25" style="284" bestFit="1" customWidth="1"/>
    <col min="283" max="283" width="7.875" style="284" bestFit="1" customWidth="1"/>
    <col min="284" max="284" width="8.75" style="284" bestFit="1" customWidth="1"/>
    <col min="285" max="285" width="8.25" style="284" bestFit="1" customWidth="1"/>
    <col min="286" max="286" width="15" style="284" bestFit="1" customWidth="1"/>
    <col min="287" max="287" width="17.125" style="284" bestFit="1" customWidth="1"/>
    <col min="288" max="288" width="8.125" style="284" bestFit="1" customWidth="1"/>
    <col min="289" max="289" width="10.5" style="284" bestFit="1" customWidth="1"/>
    <col min="290" max="290" width="12.75" style="284" bestFit="1" customWidth="1"/>
    <col min="291" max="293" width="35" style="284" bestFit="1" customWidth="1"/>
    <col min="294" max="295" width="28.75" style="284" bestFit="1" customWidth="1"/>
    <col min="296" max="297" width="17.75" style="284" bestFit="1" customWidth="1"/>
    <col min="298" max="298" width="8" style="284" bestFit="1" customWidth="1"/>
    <col min="299" max="299" width="20.5" style="284" bestFit="1" customWidth="1"/>
    <col min="300" max="300" width="7.25" style="284" bestFit="1" customWidth="1"/>
    <col min="301" max="301" width="7.875" style="284" bestFit="1" customWidth="1"/>
    <col min="302" max="302" width="8.75" style="284" bestFit="1" customWidth="1"/>
    <col min="303" max="303" width="8.25" style="284" bestFit="1" customWidth="1"/>
    <col min="304" max="304" width="15" style="284" bestFit="1" customWidth="1"/>
    <col min="305" max="305" width="17.125" style="284" bestFit="1" customWidth="1"/>
    <col min="306" max="306" width="8.125" style="284" bestFit="1" customWidth="1"/>
    <col min="307" max="307" width="10.5" style="284" bestFit="1" customWidth="1"/>
    <col min="308" max="308" width="12.75" style="284" bestFit="1" customWidth="1"/>
    <col min="309" max="312" width="27.25" style="284" bestFit="1" customWidth="1"/>
    <col min="313" max="316" width="28.5" style="284" bestFit="1" customWidth="1"/>
    <col min="317" max="317" width="20.5" style="284" bestFit="1" customWidth="1"/>
    <col min="318" max="318" width="7.25" style="284" bestFit="1" customWidth="1"/>
    <col min="319" max="319" width="7.875" style="284" bestFit="1" customWidth="1"/>
    <col min="320" max="320" width="8.75" style="284" bestFit="1" customWidth="1"/>
    <col min="321" max="321" width="8.25" style="284" bestFit="1" customWidth="1"/>
    <col min="322" max="322" width="15" style="284" bestFit="1" customWidth="1"/>
    <col min="323" max="323" width="17.125" style="284" bestFit="1" customWidth="1"/>
    <col min="324" max="324" width="8.75" style="284" bestFit="1" customWidth="1"/>
    <col min="325" max="325" width="10.5" style="284" bestFit="1" customWidth="1"/>
    <col min="326" max="326" width="12.75" style="284" bestFit="1" customWidth="1"/>
    <col min="327" max="327" width="26" style="284" bestFit="1" customWidth="1"/>
    <col min="328" max="328" width="26.875" style="284" bestFit="1" customWidth="1"/>
    <col min="329" max="329" width="25" style="284" bestFit="1" customWidth="1"/>
    <col min="330" max="330" width="27.25" style="284" bestFit="1" customWidth="1"/>
    <col min="331" max="331" width="28.25" style="284" bestFit="1" customWidth="1"/>
    <col min="332" max="332" width="26.25" style="284" bestFit="1" customWidth="1"/>
    <col min="333" max="334" width="8" style="284" bestFit="1" customWidth="1"/>
    <col min="335" max="339" width="4.125" style="284" customWidth="1"/>
    <col min="340" max="340" width="4.375" style="284" customWidth="1"/>
    <col min="341" max="341" width="18.625" style="284" bestFit="1" customWidth="1"/>
    <col min="342" max="342" width="22.625" style="284" bestFit="1" customWidth="1"/>
    <col min="343" max="343" width="9.875" style="284" bestFit="1" customWidth="1"/>
    <col min="344" max="344" width="14.625" style="284" bestFit="1" customWidth="1"/>
    <col min="345" max="345" width="14.75" style="284" bestFit="1" customWidth="1"/>
    <col min="346" max="348" width="16.375" style="284" bestFit="1" customWidth="1"/>
    <col min="349" max="349" width="10.875" style="284" bestFit="1" customWidth="1"/>
    <col min="350" max="358" width="8.75" style="284"/>
    <col min="359" max="359" width="3.875" style="284" customWidth="1"/>
    <col min="360" max="363" width="3.75" style="284" customWidth="1"/>
    <col min="364" max="364" width="3.125" style="284" customWidth="1"/>
    <col min="365" max="365" width="13.75" style="284" customWidth="1"/>
    <col min="366" max="366" width="19.5" style="284" customWidth="1"/>
    <col min="367" max="378" width="14.125" style="284" customWidth="1"/>
    <col min="379" max="399" width="13.125" style="284" customWidth="1"/>
    <col min="400" max="413" width="13.5" style="284" customWidth="1"/>
    <col min="414" max="427" width="14.25" style="284" customWidth="1"/>
    <col min="428" max="428" width="15.875" style="284" customWidth="1"/>
    <col min="429" max="435" width="14" style="284" customWidth="1"/>
    <col min="436" max="436" width="13.375" style="284" customWidth="1"/>
    <col min="437" max="441" width="14" style="284" customWidth="1"/>
    <col min="442" max="445" width="12.75" style="284" customWidth="1"/>
    <col min="446" max="446" width="14.5" style="284" customWidth="1"/>
    <col min="447" max="447" width="16.25" style="284" customWidth="1"/>
    <col min="448" max="448" width="15.875" style="284" customWidth="1"/>
    <col min="449" max="449" width="20.375" style="284" customWidth="1"/>
    <col min="450" max="450" width="21.75" style="284" bestFit="1" customWidth="1"/>
    <col min="451" max="454" width="13.125" style="284" customWidth="1"/>
    <col min="455" max="456" width="15" style="284" bestFit="1" customWidth="1"/>
    <col min="457" max="457" width="18.875" style="284" customWidth="1"/>
    <col min="458" max="458" width="17" style="284" customWidth="1"/>
    <col min="459" max="459" width="23.125" style="284" bestFit="1" customWidth="1"/>
    <col min="460" max="460" width="16" style="284" customWidth="1"/>
    <col min="461" max="461" width="13.125" style="284" customWidth="1"/>
    <col min="462" max="462" width="15.125" style="284" customWidth="1"/>
    <col min="463" max="463" width="14.125" style="284" customWidth="1"/>
    <col min="464" max="464" width="17.125" style="284" customWidth="1"/>
    <col min="465" max="465" width="11.75" style="284" bestFit="1" customWidth="1"/>
    <col min="466" max="466" width="19.125" style="284" customWidth="1"/>
    <col min="467" max="467" width="12.5" style="284" customWidth="1"/>
    <col min="468" max="468" width="11.75" style="284" bestFit="1" customWidth="1"/>
    <col min="469" max="469" width="14.875" style="284" customWidth="1"/>
    <col min="470" max="470" width="17.5" style="284" customWidth="1"/>
    <col min="471" max="471" width="25.25" style="284" customWidth="1"/>
    <col min="472" max="472" width="17.25" style="284" customWidth="1"/>
    <col min="473" max="473" width="17.5" style="284" customWidth="1"/>
    <col min="474" max="474" width="16.125" style="284" customWidth="1"/>
    <col min="475" max="476" width="20.25" style="284" customWidth="1"/>
    <col min="477" max="477" width="19.75" style="284" customWidth="1"/>
    <col min="478" max="478" width="22" style="284" customWidth="1"/>
    <col min="479" max="485" width="9.75" style="284" customWidth="1"/>
    <col min="486" max="486" width="19.5" style="284" customWidth="1"/>
    <col min="487" max="487" width="12.625" style="284" customWidth="1"/>
    <col min="488" max="488" width="11.5" style="284" customWidth="1"/>
    <col min="489" max="494" width="12.875" style="284" customWidth="1"/>
    <col min="495" max="500" width="11.5" style="284" customWidth="1"/>
    <col min="501" max="506" width="11.625" style="284" customWidth="1"/>
    <col min="507" max="507" width="14.625" style="284" customWidth="1"/>
    <col min="508" max="508" width="17.125" style="284" bestFit="1" customWidth="1"/>
    <col min="509" max="509" width="11.625" style="284" customWidth="1"/>
    <col min="510" max="510" width="12.125" style="284" customWidth="1"/>
    <col min="511" max="515" width="11.875" style="284" bestFit="1" customWidth="1"/>
    <col min="516" max="527" width="11.75" style="284" bestFit="1" customWidth="1"/>
    <col min="528" max="530" width="3.75" style="284" customWidth="1"/>
    <col min="531" max="534" width="15.875" style="284" customWidth="1"/>
    <col min="535" max="536" width="6.5" style="284" customWidth="1"/>
    <col min="537" max="537" width="23.5" style="284" customWidth="1"/>
    <col min="538" max="543" width="18.625" style="284" customWidth="1"/>
    <col min="544" max="544" width="17.5" style="284" customWidth="1"/>
    <col min="545" max="545" width="21.125" style="284" customWidth="1"/>
    <col min="546" max="552" width="18.625" style="284" customWidth="1"/>
    <col min="553" max="553" width="19.75" style="284" customWidth="1"/>
    <col min="554" max="554" width="20.375" style="284" customWidth="1"/>
    <col min="555" max="556" width="18.625" style="284" customWidth="1"/>
    <col min="557" max="558" width="22.875" style="284" customWidth="1"/>
    <col min="559" max="564" width="18.625" style="284" customWidth="1"/>
    <col min="565" max="565" width="24.375" style="284" customWidth="1"/>
    <col min="566" max="571" width="18.625" style="284" customWidth="1"/>
    <col min="572" max="572" width="10" style="284" customWidth="1"/>
    <col min="573" max="573" width="11.625" style="284" customWidth="1"/>
    <col min="574" max="578" width="16.625" style="284" customWidth="1"/>
    <col min="579" max="579" width="4.625" style="284" customWidth="1"/>
    <col min="580" max="580" width="4.5" style="284" customWidth="1"/>
    <col min="581" max="583" width="18.625" style="284" customWidth="1"/>
    <col min="584" max="584" width="6.125" style="284" customWidth="1"/>
    <col min="585" max="586" width="18.625" style="284" customWidth="1"/>
    <col min="587" max="587" width="18.5" style="284" customWidth="1"/>
    <col min="588" max="588" width="5" style="284" customWidth="1"/>
    <col min="589" max="592" width="18.625" style="284" customWidth="1"/>
    <col min="593" max="593" width="5" style="284" customWidth="1"/>
    <col min="594" max="597" width="18.625" style="284" customWidth="1"/>
    <col min="598" max="600" width="5" style="284" customWidth="1"/>
    <col min="601" max="617" width="11.625" style="284" customWidth="1"/>
    <col min="618" max="16384" width="8.75" style="284"/>
  </cols>
  <sheetData>
    <row r="1" spans="1:600" ht="24" x14ac:dyDescent="0.15">
      <c r="A1" s="283" t="s">
        <v>1715</v>
      </c>
      <c r="D1" s="284" t="s">
        <v>1953</v>
      </c>
      <c r="F1" s="285"/>
      <c r="AB1" s="286" t="s">
        <v>1089</v>
      </c>
      <c r="MC1" s="286" t="s">
        <v>1337</v>
      </c>
      <c r="MZ1" s="286" t="s">
        <v>1466</v>
      </c>
      <c r="TK1" s="286" t="s">
        <v>1090</v>
      </c>
      <c r="UK1" s="286"/>
      <c r="WB1" s="286" t="s">
        <v>1100</v>
      </c>
    </row>
    <row r="2" spans="1:600" ht="24" x14ac:dyDescent="0.35">
      <c r="B2" s="283" t="s">
        <v>1458</v>
      </c>
      <c r="F2" s="283" t="s">
        <v>722</v>
      </c>
      <c r="G2" s="287"/>
      <c r="J2" s="288" t="s">
        <v>723</v>
      </c>
      <c r="K2" s="287"/>
      <c r="N2" s="288" t="s">
        <v>523</v>
      </c>
      <c r="Q2" s="289" t="s">
        <v>1088</v>
      </c>
      <c r="U2" s="289" t="s">
        <v>1298</v>
      </c>
      <c r="X2" s="289" t="s">
        <v>1714</v>
      </c>
      <c r="AB2" s="288" t="s">
        <v>724</v>
      </c>
    </row>
    <row r="3" spans="1:600" ht="21.75" thickBot="1" x14ac:dyDescent="0.35">
      <c r="B3" s="290" t="s">
        <v>725</v>
      </c>
      <c r="C3" s="290" t="s">
        <v>726</v>
      </c>
      <c r="D3" s="290" t="s">
        <v>727</v>
      </c>
      <c r="F3" s="291" t="s">
        <v>174</v>
      </c>
      <c r="G3" s="291" t="s">
        <v>570</v>
      </c>
      <c r="H3" s="292"/>
      <c r="J3" s="293" t="s">
        <v>1059</v>
      </c>
      <c r="K3" s="293" t="s">
        <v>1064</v>
      </c>
      <c r="L3" s="291" t="s">
        <v>1764</v>
      </c>
      <c r="N3" s="291" t="s">
        <v>728</v>
      </c>
      <c r="O3" s="291" t="s">
        <v>523</v>
      </c>
      <c r="P3" s="292"/>
      <c r="Q3" s="293" t="s">
        <v>1478</v>
      </c>
      <c r="R3" s="293" t="s">
        <v>1477</v>
      </c>
      <c r="S3" s="293" t="s">
        <v>1070</v>
      </c>
      <c r="T3" s="292"/>
      <c r="U3" s="293" t="s">
        <v>1587</v>
      </c>
      <c r="V3" s="293" t="s">
        <v>1070</v>
      </c>
      <c r="X3" s="615" t="s">
        <v>1714</v>
      </c>
      <c r="Y3" s="615" t="s">
        <v>570</v>
      </c>
      <c r="Z3" s="616" t="s">
        <v>727</v>
      </c>
      <c r="AC3" s="284" t="s">
        <v>1094</v>
      </c>
    </row>
    <row r="4" spans="1:600" ht="15" customHeight="1" thickBot="1" x14ac:dyDescent="0.35">
      <c r="B4" s="294" t="s">
        <v>729</v>
      </c>
      <c r="C4" s="476"/>
      <c r="D4" s="276" t="s">
        <v>730</v>
      </c>
      <c r="F4" s="304" t="str">
        <f>label!C5</f>
        <v>Measured time</v>
      </c>
      <c r="G4" s="575" t="str">
        <f>""</f>
        <v/>
      </c>
      <c r="H4" s="292"/>
      <c r="J4" s="295" t="s">
        <v>1063</v>
      </c>
      <c r="K4" s="296"/>
      <c r="L4" s="276" t="str">
        <f>IF(COUNT(AC30:CB41)=0,"","True")</f>
        <v/>
      </c>
      <c r="N4" s="297" t="s">
        <v>661</v>
      </c>
      <c r="O4" s="298" t="str">
        <f t="shared" ref="O4" si="0">IF($L$20="True","Lv4",IF($L$14="True","Lv3",IF($L$8="True","Lv2",IF($L$4="True","Lv1",""))))</f>
        <v/>
      </c>
      <c r="P4" s="299"/>
      <c r="Q4" s="300" t="s">
        <v>1482</v>
      </c>
      <c r="R4" s="335" t="s">
        <v>1483</v>
      </c>
      <c r="S4" s="483">
        <v>0.3</v>
      </c>
      <c r="T4" s="299"/>
      <c r="U4" s="318" t="s">
        <v>1292</v>
      </c>
      <c r="V4" s="319">
        <v>1</v>
      </c>
      <c r="X4" s="325" t="s">
        <v>1914</v>
      </c>
      <c r="Y4" s="617">
        <v>0</v>
      </c>
      <c r="Z4" s="326" t="s">
        <v>1919</v>
      </c>
      <c r="AC4" s="284" t="s">
        <v>1095</v>
      </c>
    </row>
    <row r="5" spans="1:600" x14ac:dyDescent="0.25">
      <c r="B5" s="302" t="s">
        <v>731</v>
      </c>
      <c r="C5" s="273"/>
      <c r="D5" s="303" t="s">
        <v>732</v>
      </c>
      <c r="F5" s="304" t="str">
        <f>label!C6</f>
        <v>Node name</v>
      </c>
      <c r="G5" s="576" t="str">
        <f>""</f>
        <v/>
      </c>
      <c r="H5" s="305"/>
      <c r="J5" s="295" t="s">
        <v>1060</v>
      </c>
      <c r="K5" s="296"/>
      <c r="L5" s="276" t="str">
        <f>IF(COUNT(AU30:BK41)=0,"","True")</f>
        <v/>
      </c>
      <c r="N5" s="297" t="s">
        <v>1697</v>
      </c>
      <c r="O5" s="298" t="str">
        <f>IF($L$20="True","Lv4",IF($L$14="True","Lv3",IF($L$8="True","Lv2","")))</f>
        <v/>
      </c>
      <c r="P5" s="299"/>
      <c r="Q5" s="300" t="s">
        <v>1580</v>
      </c>
      <c r="R5" s="335" t="s">
        <v>1580</v>
      </c>
      <c r="S5" s="483">
        <v>0.7</v>
      </c>
      <c r="T5" s="299"/>
      <c r="U5" s="320" t="s">
        <v>1293</v>
      </c>
      <c r="V5" s="321">
        <v>0</v>
      </c>
      <c r="X5" s="284" t="s">
        <v>1579</v>
      </c>
    </row>
    <row r="6" spans="1:600" x14ac:dyDescent="0.25">
      <c r="B6" s="306" t="s">
        <v>527</v>
      </c>
      <c r="C6" s="274">
        <v>256</v>
      </c>
      <c r="D6" s="307" t="s">
        <v>603</v>
      </c>
      <c r="F6" s="578" t="s">
        <v>1700</v>
      </c>
      <c r="G6" s="579"/>
      <c r="H6" s="305"/>
      <c r="J6" s="295" t="s">
        <v>1048</v>
      </c>
      <c r="K6" s="296"/>
      <c r="L6" s="276" t="str">
        <f>IF(COUNT(BM30:CD41)=0,"","True")</f>
        <v/>
      </c>
      <c r="N6" s="297" t="s">
        <v>881</v>
      </c>
      <c r="O6" s="298" t="str">
        <f t="shared" ref="O6:O9" si="1">IF($L$20="True","Lv4",IF($L$14="True","Lv3",IF($L$8="True","Lv2","")))</f>
        <v/>
      </c>
      <c r="P6" s="299"/>
      <c r="Q6" s="300" t="s">
        <v>1581</v>
      </c>
      <c r="R6" s="335" t="s">
        <v>1581</v>
      </c>
      <c r="S6" s="483">
        <v>0.8</v>
      </c>
      <c r="T6" s="299"/>
      <c r="U6" s="320" t="s">
        <v>1294</v>
      </c>
      <c r="V6" s="321">
        <v>1</v>
      </c>
      <c r="X6" s="284" t="s">
        <v>1918</v>
      </c>
    </row>
    <row r="7" spans="1:600" ht="16.5" thickBot="1" x14ac:dyDescent="0.3">
      <c r="B7" s="309" t="s">
        <v>875</v>
      </c>
      <c r="C7" s="275">
        <v>256</v>
      </c>
      <c r="D7" s="276" t="s">
        <v>1093</v>
      </c>
      <c r="F7" s="578" t="s">
        <v>1701</v>
      </c>
      <c r="G7" s="579"/>
      <c r="H7" s="305"/>
      <c r="J7" s="295" t="s">
        <v>1049</v>
      </c>
      <c r="K7" s="296"/>
      <c r="L7" s="276" t="str">
        <f>IF(COUNT(CE30:DN41)=0,"","True")</f>
        <v/>
      </c>
      <c r="N7" s="297" t="s">
        <v>882</v>
      </c>
      <c r="O7" s="298" t="str">
        <f t="shared" si="1"/>
        <v/>
      </c>
      <c r="P7" s="299"/>
      <c r="Q7" s="300" t="s">
        <v>1582</v>
      </c>
      <c r="R7" s="335" t="s">
        <v>1582</v>
      </c>
      <c r="S7" s="483">
        <v>0.75</v>
      </c>
      <c r="T7" s="299"/>
      <c r="U7" s="323" t="s">
        <v>1295</v>
      </c>
      <c r="V7" s="324">
        <v>2</v>
      </c>
      <c r="X7" s="334" t="s">
        <v>1916</v>
      </c>
    </row>
    <row r="8" spans="1:600" ht="21.75" thickBot="1" x14ac:dyDescent="0.35">
      <c r="B8" s="309" t="s">
        <v>602</v>
      </c>
      <c r="C8" s="276">
        <v>256</v>
      </c>
      <c r="D8" s="276" t="s">
        <v>733</v>
      </c>
      <c r="F8" s="291" t="s">
        <v>174</v>
      </c>
      <c r="G8" s="291" t="s">
        <v>570</v>
      </c>
      <c r="H8" s="305"/>
      <c r="J8" s="295" t="s">
        <v>1050</v>
      </c>
      <c r="K8" s="296"/>
      <c r="L8" s="276" t="str">
        <f>IF(COUNT(CW30:DM41)=0,"","True")</f>
        <v/>
      </c>
      <c r="N8" s="297" t="s">
        <v>159</v>
      </c>
      <c r="O8" s="298" t="str">
        <f t="shared" si="1"/>
        <v/>
      </c>
      <c r="P8" s="299"/>
      <c r="Q8" s="300" t="s">
        <v>1584</v>
      </c>
      <c r="R8" s="298" t="s">
        <v>1583</v>
      </c>
      <c r="S8" s="484">
        <v>0.1</v>
      </c>
      <c r="T8" s="299"/>
      <c r="U8" s="325" t="s">
        <v>660</v>
      </c>
      <c r="V8" s="326">
        <v>1</v>
      </c>
      <c r="X8" s="284" t="s">
        <v>1915</v>
      </c>
    </row>
    <row r="9" spans="1:600" ht="47.25" x14ac:dyDescent="0.25">
      <c r="B9" s="312" t="s">
        <v>734</v>
      </c>
      <c r="C9" s="277">
        <v>3</v>
      </c>
      <c r="D9" s="313" t="s">
        <v>735</v>
      </c>
      <c r="F9" s="308" t="str">
        <f>label!C8</f>
        <v>Spawn no.</v>
      </c>
      <c r="G9" s="271">
        <v>0</v>
      </c>
      <c r="H9" s="310"/>
      <c r="J9" s="314" t="s">
        <v>1061</v>
      </c>
      <c r="K9" s="315"/>
      <c r="L9" s="276" t="str">
        <f>IF(COUNT(DO30:EF41)=0,"","True")</f>
        <v/>
      </c>
      <c r="N9" s="297" t="s">
        <v>883</v>
      </c>
      <c r="O9" s="298" t="str">
        <f t="shared" si="1"/>
        <v/>
      </c>
      <c r="P9" s="299"/>
      <c r="Q9" s="311" t="s">
        <v>1469</v>
      </c>
      <c r="R9" s="298" t="s">
        <v>1473</v>
      </c>
      <c r="S9" s="483">
        <v>5.0000000000000001E-3</v>
      </c>
      <c r="T9" s="299"/>
      <c r="X9" s="284" t="s">
        <v>1917</v>
      </c>
    </row>
    <row r="10" spans="1:600" x14ac:dyDescent="0.25">
      <c r="B10" s="316" t="s">
        <v>873</v>
      </c>
      <c r="C10" s="476"/>
      <c r="D10" s="317" t="s">
        <v>736</v>
      </c>
      <c r="F10" s="309" t="str">
        <f>label!C9</f>
        <v>Process no.</v>
      </c>
      <c r="G10" s="636" t="str">
        <f>""</f>
        <v/>
      </c>
      <c r="H10" s="305"/>
      <c r="J10" s="314" t="s">
        <v>1052</v>
      </c>
      <c r="K10" s="315"/>
      <c r="L10" s="276" t="str">
        <f>IF(COUNT(EG30:KK41)=0,"","True")</f>
        <v/>
      </c>
      <c r="N10" s="297" t="s">
        <v>583</v>
      </c>
      <c r="O10" s="298"/>
      <c r="P10" s="299"/>
      <c r="Q10" s="311" t="s">
        <v>1470</v>
      </c>
      <c r="R10" s="298" t="s">
        <v>1470</v>
      </c>
      <c r="S10" s="483">
        <v>0.56000000000000005</v>
      </c>
      <c r="T10" s="299"/>
      <c r="X10" s="334" t="s">
        <v>1916</v>
      </c>
    </row>
    <row r="11" spans="1:600" x14ac:dyDescent="0.25">
      <c r="B11" s="312" t="s">
        <v>874</v>
      </c>
      <c r="C11" s="278">
        <f>C10/128</f>
        <v>0</v>
      </c>
      <c r="D11" s="276" t="s">
        <v>600</v>
      </c>
      <c r="F11" s="309" t="str">
        <f>label!C10</f>
        <v>CMG no.</v>
      </c>
      <c r="G11" s="636" t="str">
        <f>""</f>
        <v/>
      </c>
      <c r="H11" s="310"/>
      <c r="J11" s="314" t="s">
        <v>1053</v>
      </c>
      <c r="K11" s="315"/>
      <c r="L11" s="276" t="str">
        <f>IF(COUNT(EY30:FP41)=0,"","True")</f>
        <v/>
      </c>
      <c r="N11" s="297" t="s">
        <v>1699</v>
      </c>
      <c r="O11" s="298"/>
      <c r="P11" s="299"/>
      <c r="Q11" s="851" t="s">
        <v>20</v>
      </c>
      <c r="R11" s="298" t="s">
        <v>1474</v>
      </c>
      <c r="S11" s="483">
        <v>0.2</v>
      </c>
      <c r="T11" s="299"/>
      <c r="X11" s="284" t="s">
        <v>1915</v>
      </c>
    </row>
    <row r="12" spans="1:600" x14ac:dyDescent="0.25">
      <c r="B12" s="312" t="s">
        <v>874</v>
      </c>
      <c r="C12" s="277">
        <f>C10/64</f>
        <v>0</v>
      </c>
      <c r="D12" s="276" t="s">
        <v>737</v>
      </c>
      <c r="F12" s="309" t="str">
        <f>label!C11</f>
        <v>Measured region</v>
      </c>
      <c r="G12" s="272" t="str">
        <f>""</f>
        <v/>
      </c>
      <c r="H12" s="310"/>
      <c r="J12" s="314" t="s">
        <v>1054</v>
      </c>
      <c r="K12" s="315"/>
      <c r="L12" s="276" t="str">
        <f>IF(COUNT(FQ30:GH41)=0,"","True")</f>
        <v/>
      </c>
      <c r="N12" s="297" t="s">
        <v>1698</v>
      </c>
      <c r="O12" s="298"/>
      <c r="P12" s="299"/>
      <c r="Q12" s="852"/>
      <c r="R12" s="298" t="s">
        <v>1470</v>
      </c>
      <c r="S12" s="483">
        <v>0.04</v>
      </c>
      <c r="T12" s="299"/>
    </row>
    <row r="13" spans="1:600" ht="21" x14ac:dyDescent="0.3">
      <c r="B13" s="322" t="s">
        <v>738</v>
      </c>
      <c r="C13" s="279" t="str">
        <f>IF(OR(COUNT(AL30:AL41)=0,COUNT(AK30:AK41)=0),"",AL30/AK30*$C$4)</f>
        <v/>
      </c>
      <c r="D13" s="317" t="s">
        <v>1185</v>
      </c>
      <c r="F13" s="291" t="s">
        <v>174</v>
      </c>
      <c r="G13" s="291" t="s">
        <v>570</v>
      </c>
      <c r="H13" s="310"/>
      <c r="J13" s="314" t="s">
        <v>902</v>
      </c>
      <c r="K13" s="315"/>
      <c r="L13" s="276" t="str">
        <f>IF(COUNT(GI30:GZ41)=0,"","True")</f>
        <v/>
      </c>
      <c r="N13" s="297" t="s">
        <v>1459</v>
      </c>
      <c r="O13" s="298"/>
      <c r="P13" s="299"/>
      <c r="Q13" s="311" t="s">
        <v>1471</v>
      </c>
      <c r="R13" s="298" t="s">
        <v>1475</v>
      </c>
      <c r="S13" s="483">
        <v>0.56000000000000005</v>
      </c>
      <c r="T13" s="299"/>
    </row>
    <row r="14" spans="1:600" x14ac:dyDescent="0.25">
      <c r="B14" s="309" t="s">
        <v>739</v>
      </c>
      <c r="C14" s="275">
        <v>48</v>
      </c>
      <c r="D14" s="276" t="s">
        <v>1091</v>
      </c>
      <c r="F14" s="309" t="str">
        <f>label!C12</f>
        <v>Vector length (bit)</v>
      </c>
      <c r="G14" s="270" t="str">
        <f>IF(C10="","",C10)</f>
        <v/>
      </c>
      <c r="H14" s="310"/>
      <c r="J14" s="314" t="s">
        <v>903</v>
      </c>
      <c r="K14" s="315"/>
      <c r="L14" s="276" t="str">
        <f>IF(COUNT(HA30:JS41)=0,"","True")</f>
        <v/>
      </c>
      <c r="N14" s="329"/>
      <c r="O14" s="299"/>
      <c r="P14" s="299"/>
      <c r="Q14" s="851" t="s">
        <v>25</v>
      </c>
      <c r="R14" s="298" t="s">
        <v>1472</v>
      </c>
      <c r="S14" s="483">
        <v>0.2</v>
      </c>
      <c r="T14" s="299"/>
    </row>
    <row r="15" spans="1:600" x14ac:dyDescent="0.25">
      <c r="B15" s="309" t="s">
        <v>740</v>
      </c>
      <c r="C15" s="270">
        <v>12</v>
      </c>
      <c r="D15" s="276" t="s">
        <v>1092</v>
      </c>
      <c r="F15" s="309" t="str">
        <f>label!C13</f>
        <v>CPU frequency (GHz)</v>
      </c>
      <c r="G15" s="270" t="str">
        <f>IF(C13="","",C13/10^9)</f>
        <v/>
      </c>
      <c r="H15" s="310"/>
      <c r="J15" s="327" t="s">
        <v>1062</v>
      </c>
      <c r="K15" s="328"/>
      <c r="L15" s="276" t="str">
        <f>IF(COUNT(HS30:JT41)=0,"","True")</f>
        <v/>
      </c>
      <c r="N15" s="329"/>
      <c r="O15" s="299"/>
      <c r="P15" s="299"/>
      <c r="Q15" s="852"/>
      <c r="R15" s="298" t="s">
        <v>1476</v>
      </c>
      <c r="S15" s="483">
        <v>8.0000000000000002E-3</v>
      </c>
      <c r="T15" s="299"/>
      <c r="TV15" s="500"/>
    </row>
    <row r="16" spans="1:600" x14ac:dyDescent="0.25">
      <c r="B16" s="309" t="s">
        <v>599</v>
      </c>
      <c r="C16" s="276">
        <v>32</v>
      </c>
      <c r="D16" s="276" t="s">
        <v>741</v>
      </c>
      <c r="F16" s="578"/>
      <c r="G16" s="579"/>
      <c r="J16" s="327" t="s">
        <v>905</v>
      </c>
      <c r="K16" s="328"/>
      <c r="L16" s="276" t="str">
        <f>IF(COUNT(JC30:JS41)=0,"","True")</f>
        <v/>
      </c>
      <c r="P16" s="299"/>
      <c r="Q16" s="311" t="s">
        <v>1585</v>
      </c>
      <c r="R16" s="298" t="s">
        <v>1585</v>
      </c>
      <c r="S16" s="483">
        <v>0.01</v>
      </c>
      <c r="T16" s="299"/>
    </row>
    <row r="17" spans="2:617" x14ac:dyDescent="0.25">
      <c r="B17" s="309" t="s">
        <v>742</v>
      </c>
      <c r="C17" s="276">
        <v>16</v>
      </c>
      <c r="D17" s="276" t="s">
        <v>601</v>
      </c>
      <c r="F17" s="578"/>
      <c r="G17" s="579"/>
      <c r="J17" s="327" t="s">
        <v>906</v>
      </c>
      <c r="K17" s="328"/>
      <c r="L17" s="276" t="str">
        <f>IF(COUNT(IK30:KL41)=0,"","True")</f>
        <v/>
      </c>
      <c r="O17" s="299"/>
      <c r="P17" s="299"/>
      <c r="Q17" s="311" t="s">
        <v>1586</v>
      </c>
      <c r="R17" s="298" t="s">
        <v>1586</v>
      </c>
      <c r="S17" s="483">
        <v>5.0000000000000002E-5</v>
      </c>
      <c r="T17" s="299"/>
    </row>
    <row r="18" spans="2:617" x14ac:dyDescent="0.25">
      <c r="B18" s="330" t="s">
        <v>1451</v>
      </c>
      <c r="C18" s="280" t="s">
        <v>1728</v>
      </c>
      <c r="D18" s="331" t="s">
        <v>1190</v>
      </c>
      <c r="J18" s="327" t="s">
        <v>907</v>
      </c>
      <c r="K18" s="328"/>
      <c r="L18" s="276" t="str">
        <f>IF(COUNT(JU30:KL41)=0,"","True")</f>
        <v/>
      </c>
      <c r="O18" s="299"/>
      <c r="P18" s="299"/>
      <c r="Q18" s="851" t="s">
        <v>1479</v>
      </c>
      <c r="R18" s="298" t="s">
        <v>1480</v>
      </c>
      <c r="S18" s="483">
        <v>0.95</v>
      </c>
      <c r="T18" s="299"/>
      <c r="TV18" s="500"/>
    </row>
    <row r="19" spans="2:617" x14ac:dyDescent="0.25">
      <c r="B19" s="304" t="s">
        <v>1455</v>
      </c>
      <c r="C19" s="477">
        <v>2</v>
      </c>
      <c r="D19" s="298" t="s">
        <v>1456</v>
      </c>
      <c r="J19" s="327" t="s">
        <v>908</v>
      </c>
      <c r="K19" s="328"/>
      <c r="L19" s="276" t="str">
        <f>IF(COUNT(KM30:LD41)=0,"","True")</f>
        <v/>
      </c>
      <c r="O19" s="299"/>
      <c r="P19" s="299"/>
      <c r="Q19" s="852"/>
      <c r="R19" s="298" t="s">
        <v>1481</v>
      </c>
      <c r="S19" s="483">
        <v>1.05</v>
      </c>
      <c r="T19" s="299"/>
    </row>
    <row r="20" spans="2:617" x14ac:dyDescent="0.25">
      <c r="B20" s="304" t="s">
        <v>1454</v>
      </c>
      <c r="C20" s="477">
        <v>1</v>
      </c>
      <c r="D20" s="298" t="s">
        <v>1457</v>
      </c>
      <c r="J20" s="327" t="s">
        <v>909</v>
      </c>
      <c r="K20" s="328"/>
      <c r="L20" s="276" t="str">
        <f>IF(COUNT(LE30:LT41)=0,"","True")</f>
        <v/>
      </c>
      <c r="O20" s="299"/>
      <c r="P20" s="299"/>
      <c r="Q20" s="311" t="s">
        <v>1484</v>
      </c>
      <c r="R20" s="301" t="s">
        <v>1485</v>
      </c>
      <c r="S20" s="483">
        <v>1.4999999999999999E-4</v>
      </c>
      <c r="T20" s="299"/>
    </row>
    <row r="21" spans="2:617" x14ac:dyDescent="0.25">
      <c r="B21" s="304" t="s">
        <v>1453</v>
      </c>
      <c r="C21" s="476"/>
      <c r="D21" s="298" t="s">
        <v>1372</v>
      </c>
      <c r="PK21" s="332"/>
      <c r="PR21" s="332"/>
      <c r="PS21" s="332"/>
    </row>
    <row r="22" spans="2:617" x14ac:dyDescent="0.15">
      <c r="NA22" s="332"/>
      <c r="PK22" s="332"/>
      <c r="PR22" s="332"/>
      <c r="PS22" s="332"/>
      <c r="TE22" s="332"/>
      <c r="TF22" s="332"/>
      <c r="TG22" s="332"/>
    </row>
    <row r="23" spans="2:617" x14ac:dyDescent="0.15">
      <c r="NA23" s="332"/>
      <c r="NB23" s="332"/>
    </row>
    <row r="24" spans="2:617" x14ac:dyDescent="0.15">
      <c r="D24" s="284" t="s">
        <v>890</v>
      </c>
      <c r="Q24" s="485"/>
      <c r="NA24" s="332"/>
      <c r="NB24" s="332"/>
    </row>
    <row r="25" spans="2:617" ht="47.25" x14ac:dyDescent="0.15">
      <c r="C25" s="333"/>
      <c r="D25" s="334" t="s">
        <v>1576</v>
      </c>
      <c r="Q25" s="332"/>
      <c r="NA25" s="159"/>
      <c r="NB25" s="159"/>
      <c r="NC25" s="147" t="str">
        <f>label!C23</f>
        <v>Statistics</v>
      </c>
      <c r="ND25" s="148" t="str">
        <f>IF($L$20="True","Lv4",IF($L$14="True","Lv3",IF($L$8="True","Lv2",IF($L$4="True","Lv1",""))))</f>
        <v/>
      </c>
      <c r="NE25" s="149"/>
      <c r="NF25" s="150"/>
      <c r="NG25" s="150"/>
      <c r="NH25" s="150"/>
      <c r="NI25" s="150"/>
      <c r="NJ25" s="150"/>
      <c r="NK25" s="150"/>
      <c r="NL25" s="150"/>
      <c r="NM25" s="150"/>
      <c r="NN25" s="150"/>
      <c r="NO25" s="151" t="str">
        <f>label!C40</f>
        <v>Cycle Accounting</v>
      </c>
      <c r="NP25" s="151"/>
      <c r="NQ25" s="148" t="str">
        <f>IF($L$20="True","Lv4",IF($L$14="True","Lv3",IF($L$8="True","Lv2","")))</f>
        <v/>
      </c>
      <c r="NR25" s="149"/>
      <c r="NS25" s="152"/>
      <c r="NT25" s="152"/>
      <c r="NU25" s="150"/>
      <c r="NV25" s="150"/>
      <c r="NW25" s="150"/>
      <c r="NX25" s="150"/>
      <c r="NY25" s="150"/>
      <c r="NZ25" s="150"/>
      <c r="OA25" s="150"/>
      <c r="OB25" s="150"/>
      <c r="OC25" s="150"/>
      <c r="OD25" s="150"/>
      <c r="OE25" s="150"/>
      <c r="OF25" s="150"/>
      <c r="OG25" s="150"/>
      <c r="OH25" s="150"/>
      <c r="OI25" s="150"/>
      <c r="OJ25" s="153" t="str">
        <f>label!C79</f>
        <v>Busy</v>
      </c>
      <c r="OK25" s="148" t="str">
        <f>IF($L$20="True","Lv4",IF($L$14="True","Lv3",IF($L$8="True","Lv2","")))</f>
        <v/>
      </c>
      <c r="OL25" s="149"/>
      <c r="OM25" s="152"/>
      <c r="ON25" s="150"/>
      <c r="OO25" s="150"/>
      <c r="OP25" s="150"/>
      <c r="OQ25" s="150"/>
      <c r="OR25" s="150"/>
      <c r="OS25" s="150"/>
      <c r="OT25" s="150"/>
      <c r="OU25" s="150"/>
      <c r="OV25" s="150"/>
      <c r="OW25" s="150"/>
      <c r="OX25" s="153" t="str">
        <f>label!C98</f>
        <v>Cache</v>
      </c>
      <c r="OY25" s="148" t="str">
        <f>IF($L$20="True","Lv4",IF($L$14="True","Lv3",IF($L$8="True","Lv2","")))</f>
        <v/>
      </c>
      <c r="OZ25" s="152"/>
      <c r="PA25" s="154"/>
      <c r="PB25" s="150"/>
      <c r="PC25" s="150"/>
      <c r="PD25" s="150"/>
      <c r="PE25" s="150"/>
      <c r="PF25" s="150"/>
      <c r="PG25" s="150"/>
      <c r="PH25" s="150"/>
      <c r="PI25" s="150"/>
      <c r="PJ25" s="150"/>
      <c r="PK25" s="150"/>
      <c r="PL25" s="155" t="str">
        <f>label!C121</f>
        <v>Instruction</v>
      </c>
      <c r="PM25" s="148" t="str">
        <f>IF($L$20="True","Lv4",IF($L$14="True","Lv3",IF($L$8="True","Lv2","")))</f>
        <v/>
      </c>
      <c r="PN25" s="560" t="str">
        <f>INDEX(Label_Instruction_Above,1,data_Lang_LangValue+1)</f>
        <v>Load-store instruction</v>
      </c>
      <c r="PO25" s="561"/>
      <c r="PP25" s="561"/>
      <c r="PQ25" s="561"/>
      <c r="PR25" s="561"/>
      <c r="PS25" s="561"/>
      <c r="PT25" s="561"/>
      <c r="PU25" s="561"/>
      <c r="PV25" s="561"/>
      <c r="PW25" s="561"/>
      <c r="PX25" s="561"/>
      <c r="PY25" s="562"/>
      <c r="PZ25" s="150"/>
      <c r="QA25" s="150"/>
      <c r="QB25" s="150"/>
      <c r="QC25" s="150"/>
      <c r="QD25" s="150"/>
      <c r="QE25" s="150"/>
      <c r="QF25" s="150"/>
      <c r="QG25" s="150"/>
      <c r="QH25" s="150"/>
      <c r="QI25" s="150"/>
      <c r="QJ25" s="150"/>
      <c r="QK25" s="150"/>
      <c r="QL25" s="150"/>
      <c r="QM25" s="150"/>
      <c r="QN25" s="150"/>
      <c r="QO25" s="472" t="str">
        <f>label!C182</f>
        <v>FLOPS</v>
      </c>
      <c r="QP25" s="149"/>
      <c r="QQ25" s="473"/>
      <c r="QS25" s="156" t="str">
        <f>label!C190</f>
        <v>Extra</v>
      </c>
      <c r="QT25" s="150"/>
      <c r="QU25" s="150"/>
      <c r="QV25" s="150"/>
      <c r="QW25" s="150"/>
      <c r="QX25" s="150"/>
      <c r="QY25" s="150"/>
      <c r="QZ25" s="150"/>
      <c r="RA25" s="150"/>
      <c r="RB25" s="150"/>
      <c r="RC25" s="157" t="str">
        <f>label!C226</f>
        <v xml:space="preserve">Hardware Prefetch Rate (%) (/Hardware Prefetch) </v>
      </c>
      <c r="RD25" s="150"/>
      <c r="RE25" s="150"/>
      <c r="RF25" s="150"/>
      <c r="RG25" s="150"/>
      <c r="RH25" s="150"/>
      <c r="RI25" s="150"/>
      <c r="RJ25" s="158" t="str">
        <f>label!C241</f>
        <v>Data Transfer CMGs</v>
      </c>
      <c r="RK25" s="150"/>
      <c r="RL25" s="150"/>
      <c r="RM25" s="159"/>
      <c r="RN25" s="159"/>
      <c r="RO25" s="159"/>
      <c r="RP25" s="159"/>
      <c r="RQ25" s="159"/>
      <c r="RR25" s="160" t="str">
        <f>label!C268</f>
        <v>Power Consumption (W)</v>
      </c>
      <c r="RS25" s="150"/>
      <c r="RT25" s="159"/>
      <c r="RU25" s="157" t="str">
        <f>label!C276</f>
        <v>Variation of Time</v>
      </c>
      <c r="RV25" s="159"/>
      <c r="RW25" s="150"/>
      <c r="RX25" s="150"/>
      <c r="RY25" s="150"/>
      <c r="RZ25" s="150"/>
      <c r="SA25" s="150"/>
      <c r="SB25" s="150"/>
      <c r="SC25" s="150"/>
      <c r="SD25" s="150"/>
      <c r="SE25" s="150"/>
      <c r="SF25" s="150"/>
      <c r="SG25" s="150"/>
      <c r="SH25" s="150"/>
      <c r="SI25" s="150"/>
      <c r="SJ25" s="150"/>
      <c r="SK25" s="150"/>
      <c r="SL25" s="150"/>
      <c r="SM25" s="157" t="str">
        <f>label!C318</f>
        <v>Mean Time</v>
      </c>
      <c r="SN25" s="159"/>
      <c r="SO25" s="157" t="str">
        <f>label!C324</f>
        <v>Balance</v>
      </c>
      <c r="SP25" s="159"/>
      <c r="SQ25" s="157" t="str">
        <f>label!C332</f>
        <v>Cycle Count</v>
      </c>
      <c r="SR25" s="150"/>
      <c r="SS25" s="150"/>
      <c r="ST25" s="150"/>
      <c r="SU25" s="150"/>
      <c r="SV25" s="150"/>
      <c r="SW25" s="150"/>
      <c r="SX25" s="150"/>
      <c r="SY25" s="150"/>
      <c r="SZ25" s="150"/>
      <c r="TA25" s="150"/>
      <c r="TB25" s="150"/>
      <c r="TC25" s="150"/>
      <c r="TD25" s="150"/>
      <c r="TE25" s="150"/>
      <c r="TF25" s="150"/>
      <c r="TG25" s="150"/>
      <c r="TK25" s="338" t="s">
        <v>886</v>
      </c>
      <c r="TQ25" s="338" t="s">
        <v>1440</v>
      </c>
      <c r="UC25" s="338" t="s">
        <v>1441</v>
      </c>
      <c r="VA25" s="338" t="s">
        <v>887</v>
      </c>
      <c r="VI25" s="12" t="s">
        <v>1428</v>
      </c>
      <c r="VM25" s="338"/>
      <c r="VQ25" s="338"/>
      <c r="VV25" s="338" t="s">
        <v>889</v>
      </c>
    </row>
    <row r="26" spans="2:617" ht="15.75" customHeight="1" x14ac:dyDescent="0.25">
      <c r="C26" s="336"/>
      <c r="D26" s="299" t="s">
        <v>1578</v>
      </c>
      <c r="AB26" s="287"/>
      <c r="AC26" s="340" t="s">
        <v>1770</v>
      </c>
      <c r="AF26" s="287"/>
      <c r="AG26" s="287"/>
      <c r="AH26" s="287"/>
      <c r="AI26" s="287"/>
      <c r="AJ26" s="342" t="s">
        <v>1168</v>
      </c>
      <c r="AK26" s="342" t="s">
        <v>1169</v>
      </c>
      <c r="AL26" s="342" t="s">
        <v>1170</v>
      </c>
      <c r="AM26" s="342" t="s">
        <v>1175</v>
      </c>
      <c r="AN26" s="342" t="s">
        <v>179</v>
      </c>
      <c r="AO26" s="342" t="s">
        <v>180</v>
      </c>
      <c r="AP26" s="342" t="s">
        <v>181</v>
      </c>
      <c r="AQ26" s="342" t="s">
        <v>182</v>
      </c>
      <c r="AR26" s="342" t="s">
        <v>183</v>
      </c>
      <c r="AS26" s="342" t="s">
        <v>184</v>
      </c>
      <c r="AT26" s="342" t="s">
        <v>185</v>
      </c>
      <c r="AU26" s="340" t="s">
        <v>1771</v>
      </c>
      <c r="AX26" s="287"/>
      <c r="AY26" s="287"/>
      <c r="AZ26" s="287"/>
      <c r="BA26" s="287"/>
      <c r="BB26" s="342" t="s">
        <v>1120</v>
      </c>
      <c r="BC26" s="342" t="s">
        <v>1121</v>
      </c>
      <c r="BD26" s="342" t="s">
        <v>1122</v>
      </c>
      <c r="BE26" s="342" t="s">
        <v>1123</v>
      </c>
      <c r="BF26" s="342" t="s">
        <v>927</v>
      </c>
      <c r="BG26" s="342" t="s">
        <v>186</v>
      </c>
      <c r="BH26" s="342" t="s">
        <v>187</v>
      </c>
      <c r="BI26" s="342" t="s">
        <v>188</v>
      </c>
      <c r="BJ26" s="342" t="s">
        <v>189</v>
      </c>
      <c r="BK26" s="342" t="s">
        <v>190</v>
      </c>
      <c r="BL26" s="342" t="s">
        <v>1124</v>
      </c>
      <c r="BM26" s="340" t="s">
        <v>1772</v>
      </c>
      <c r="BP26" s="287"/>
      <c r="BQ26" s="287"/>
      <c r="BR26" s="287"/>
      <c r="BS26" s="287"/>
      <c r="BT26" s="342" t="s">
        <v>1125</v>
      </c>
      <c r="BU26" s="342" t="s">
        <v>1126</v>
      </c>
      <c r="BV26" s="342" t="s">
        <v>1127</v>
      </c>
      <c r="BW26" s="344" t="s">
        <v>460</v>
      </c>
      <c r="BX26" s="344" t="s">
        <v>191</v>
      </c>
      <c r="BY26" s="344" t="s">
        <v>461</v>
      </c>
      <c r="BZ26" s="344" t="s">
        <v>192</v>
      </c>
      <c r="CA26" s="344" t="s">
        <v>193</v>
      </c>
      <c r="CB26" s="344" t="s">
        <v>194</v>
      </c>
      <c r="CC26" s="344" t="s">
        <v>195</v>
      </c>
      <c r="CD26" s="344" t="s">
        <v>462</v>
      </c>
      <c r="CE26" s="340" t="s">
        <v>1773</v>
      </c>
      <c r="CH26" s="287"/>
      <c r="CI26" s="287"/>
      <c r="CJ26" s="287"/>
      <c r="CK26" s="287"/>
      <c r="CL26" s="342" t="s">
        <v>1128</v>
      </c>
      <c r="CM26" s="342" t="s">
        <v>1129</v>
      </c>
      <c r="CN26" s="342" t="s">
        <v>1130</v>
      </c>
      <c r="CO26" s="342" t="s">
        <v>1362</v>
      </c>
      <c r="CP26" s="342" t="s">
        <v>196</v>
      </c>
      <c r="CQ26" s="342" t="s">
        <v>197</v>
      </c>
      <c r="CR26" s="342" t="s">
        <v>198</v>
      </c>
      <c r="CS26" s="342" t="s">
        <v>199</v>
      </c>
      <c r="CT26" s="342" t="s">
        <v>200</v>
      </c>
      <c r="CU26" s="342" t="s">
        <v>201</v>
      </c>
      <c r="CV26" s="342" t="s">
        <v>202</v>
      </c>
      <c r="CW26" s="340" t="s">
        <v>1774</v>
      </c>
      <c r="CZ26" s="287"/>
      <c r="DA26" s="287"/>
      <c r="DB26" s="287"/>
      <c r="DC26" s="287"/>
      <c r="DD26" s="342" t="s">
        <v>1176</v>
      </c>
      <c r="DE26" s="342" t="s">
        <v>1177</v>
      </c>
      <c r="DF26" s="342" t="s">
        <v>1178</v>
      </c>
      <c r="DG26" s="342" t="s">
        <v>1179</v>
      </c>
      <c r="DH26" s="342" t="s">
        <v>203</v>
      </c>
      <c r="DI26" s="342" t="s">
        <v>204</v>
      </c>
      <c r="DJ26" s="342" t="s">
        <v>205</v>
      </c>
      <c r="DK26" s="342" t="s">
        <v>206</v>
      </c>
      <c r="DL26" s="342" t="s">
        <v>207</v>
      </c>
      <c r="DM26" s="342" t="s">
        <v>208</v>
      </c>
      <c r="DN26" s="342" t="s">
        <v>209</v>
      </c>
      <c r="DO26" s="340" t="s">
        <v>1775</v>
      </c>
      <c r="DR26" s="287"/>
      <c r="DS26" s="287"/>
      <c r="DT26" s="287"/>
      <c r="DU26" s="287"/>
      <c r="DV26" s="342" t="s">
        <v>1131</v>
      </c>
      <c r="DW26" s="342" t="s">
        <v>1132</v>
      </c>
      <c r="DX26" s="342" t="s">
        <v>1133</v>
      </c>
      <c r="DY26" s="342" t="s">
        <v>1182</v>
      </c>
      <c r="DZ26" s="342" t="s">
        <v>210</v>
      </c>
      <c r="EA26" s="342" t="s">
        <v>211</v>
      </c>
      <c r="EB26" s="342" t="s">
        <v>212</v>
      </c>
      <c r="EC26" s="342" t="s">
        <v>213</v>
      </c>
      <c r="ED26" s="342" t="s">
        <v>214</v>
      </c>
      <c r="EE26" s="342" t="s">
        <v>215</v>
      </c>
      <c r="EF26" s="342" t="s">
        <v>216</v>
      </c>
      <c r="EG26" s="343" t="s">
        <v>1776</v>
      </c>
      <c r="EJ26" s="287"/>
      <c r="EK26" s="287"/>
      <c r="EL26" s="287"/>
      <c r="EM26" s="287"/>
      <c r="EN26" s="342" t="s">
        <v>1134</v>
      </c>
      <c r="EO26" s="342" t="s">
        <v>1135</v>
      </c>
      <c r="EP26" s="342" t="s">
        <v>1136</v>
      </c>
      <c r="EQ26" s="342" t="s">
        <v>1137</v>
      </c>
      <c r="ER26" s="342" t="s">
        <v>928</v>
      </c>
      <c r="ES26" s="342" t="s">
        <v>929</v>
      </c>
      <c r="ET26" s="342" t="s">
        <v>1489</v>
      </c>
      <c r="EU26" s="342" t="s">
        <v>1490</v>
      </c>
      <c r="EV26" s="342" t="s">
        <v>1491</v>
      </c>
      <c r="EW26" s="342" t="s">
        <v>1492</v>
      </c>
      <c r="EX26" s="342" t="s">
        <v>1493</v>
      </c>
      <c r="EY26" s="343" t="s">
        <v>1777</v>
      </c>
      <c r="FB26" s="287"/>
      <c r="FC26" s="287"/>
      <c r="FD26" s="287"/>
      <c r="FE26" s="287"/>
      <c r="FF26" s="342" t="s">
        <v>1138</v>
      </c>
      <c r="FG26" s="342" t="s">
        <v>1139</v>
      </c>
      <c r="FH26" s="342" t="s">
        <v>1140</v>
      </c>
      <c r="FI26" s="342" t="s">
        <v>1376</v>
      </c>
      <c r="FJ26" s="342" t="s">
        <v>1377</v>
      </c>
      <c r="FK26" s="342" t="s">
        <v>1378</v>
      </c>
      <c r="FL26" s="342" t="s">
        <v>1379</v>
      </c>
      <c r="FM26" s="342" t="s">
        <v>223</v>
      </c>
      <c r="FN26" s="342" t="s">
        <v>224</v>
      </c>
      <c r="FO26" s="342" t="s">
        <v>225</v>
      </c>
      <c r="FP26" s="342" t="s">
        <v>275</v>
      </c>
      <c r="FQ26" s="343" t="s">
        <v>1778</v>
      </c>
      <c r="FT26" s="287"/>
      <c r="FU26" s="287"/>
      <c r="FV26" s="287"/>
      <c r="FW26" s="287"/>
      <c r="FX26" s="342" t="s">
        <v>1141</v>
      </c>
      <c r="FY26" s="342" t="s">
        <v>1142</v>
      </c>
      <c r="FZ26" s="342" t="s">
        <v>1143</v>
      </c>
      <c r="GA26" s="342" t="s">
        <v>1183</v>
      </c>
      <c r="GB26" s="342" t="s">
        <v>217</v>
      </c>
      <c r="GC26" s="342" t="s">
        <v>218</v>
      </c>
      <c r="GD26" s="342" t="s">
        <v>219</v>
      </c>
      <c r="GE26" s="342" t="s">
        <v>220</v>
      </c>
      <c r="GF26" s="342" t="s">
        <v>221</v>
      </c>
      <c r="GG26" s="342" t="s">
        <v>222</v>
      </c>
      <c r="GH26" s="342" t="s">
        <v>274</v>
      </c>
      <c r="GI26" s="343" t="s">
        <v>1779</v>
      </c>
      <c r="GL26" s="287"/>
      <c r="GM26" s="287"/>
      <c r="GN26" s="287"/>
      <c r="GO26" s="287"/>
      <c r="GP26" s="342" t="s">
        <v>1144</v>
      </c>
      <c r="GQ26" s="342" t="s">
        <v>1145</v>
      </c>
      <c r="GR26" s="342" t="s">
        <v>1146</v>
      </c>
      <c r="GS26" s="342" t="s">
        <v>1147</v>
      </c>
      <c r="GT26" s="342" t="s">
        <v>226</v>
      </c>
      <c r="GU26" s="342" t="s">
        <v>227</v>
      </c>
      <c r="GV26" s="342" t="s">
        <v>228</v>
      </c>
      <c r="GW26" s="342" t="s">
        <v>229</v>
      </c>
      <c r="GX26" s="342" t="s">
        <v>230</v>
      </c>
      <c r="GY26" s="342" t="s">
        <v>231</v>
      </c>
      <c r="GZ26" s="342" t="s">
        <v>232</v>
      </c>
      <c r="HA26" s="343" t="s">
        <v>1780</v>
      </c>
      <c r="HD26" s="287"/>
      <c r="HE26" s="287"/>
      <c r="HF26" s="287"/>
      <c r="HG26" s="287"/>
      <c r="HH26" s="342" t="s">
        <v>1148</v>
      </c>
      <c r="HI26" s="342" t="s">
        <v>1149</v>
      </c>
      <c r="HJ26" s="342" t="s">
        <v>1150</v>
      </c>
      <c r="HK26" s="342" t="s">
        <v>1151</v>
      </c>
      <c r="HL26" s="342" t="s">
        <v>233</v>
      </c>
      <c r="HM26" s="342" t="s">
        <v>234</v>
      </c>
      <c r="HN26" s="342" t="s">
        <v>235</v>
      </c>
      <c r="HO26" s="342" t="s">
        <v>236</v>
      </c>
      <c r="HP26" s="342" t="s">
        <v>237</v>
      </c>
      <c r="HQ26" s="342" t="s">
        <v>238</v>
      </c>
      <c r="HR26" s="342" t="s">
        <v>1152</v>
      </c>
      <c r="HS26" s="343" t="s">
        <v>1781</v>
      </c>
      <c r="HV26" s="345"/>
      <c r="HW26" s="345"/>
      <c r="HX26" s="345"/>
      <c r="HY26" s="345"/>
      <c r="HZ26" s="342" t="s">
        <v>1153</v>
      </c>
      <c r="IA26" s="342" t="s">
        <v>1154</v>
      </c>
      <c r="IB26" s="342" t="s">
        <v>1155</v>
      </c>
      <c r="IC26" s="342" t="s">
        <v>1363</v>
      </c>
      <c r="ID26" s="342" t="s">
        <v>239</v>
      </c>
      <c r="IE26" s="342" t="s">
        <v>240</v>
      </c>
      <c r="IF26" s="342" t="s">
        <v>276</v>
      </c>
      <c r="IG26" s="342" t="s">
        <v>277</v>
      </c>
      <c r="IH26" s="342" t="s">
        <v>445</v>
      </c>
      <c r="II26" s="342" t="s">
        <v>446</v>
      </c>
      <c r="IJ26" s="342" t="s">
        <v>447</v>
      </c>
      <c r="IK26" s="343" t="s">
        <v>1782</v>
      </c>
      <c r="IN26" s="287"/>
      <c r="IO26" s="287"/>
      <c r="IP26" s="287"/>
      <c r="IQ26" s="287"/>
      <c r="IR26" s="342" t="s">
        <v>1368</v>
      </c>
      <c r="IS26" s="342" t="s">
        <v>1369</v>
      </c>
      <c r="IT26" s="342" t="s">
        <v>1370</v>
      </c>
      <c r="IU26" s="342" t="s">
        <v>1371</v>
      </c>
      <c r="IV26" s="342" t="s">
        <v>241</v>
      </c>
      <c r="IW26" s="342" t="s">
        <v>242</v>
      </c>
      <c r="IX26" s="342" t="s">
        <v>243</v>
      </c>
      <c r="IY26" s="342" t="s">
        <v>244</v>
      </c>
      <c r="IZ26" s="342" t="s">
        <v>245</v>
      </c>
      <c r="JA26" s="342" t="s">
        <v>246</v>
      </c>
      <c r="JB26" s="342" t="s">
        <v>278</v>
      </c>
      <c r="JC26" s="343" t="s">
        <v>1783</v>
      </c>
      <c r="JF26" s="287"/>
      <c r="JG26" s="287"/>
      <c r="JH26" s="287"/>
      <c r="JI26" s="287"/>
      <c r="JJ26" s="342" t="s">
        <v>1364</v>
      </c>
      <c r="JK26" s="342" t="s">
        <v>1365</v>
      </c>
      <c r="JL26" s="342" t="s">
        <v>1366</v>
      </c>
      <c r="JM26" s="342" t="s">
        <v>1367</v>
      </c>
      <c r="JN26" s="342" t="s">
        <v>254</v>
      </c>
      <c r="JO26" s="342" t="s">
        <v>255</v>
      </c>
      <c r="JP26" s="342" t="s">
        <v>256</v>
      </c>
      <c r="JQ26" s="342" t="s">
        <v>257</v>
      </c>
      <c r="JR26" s="342" t="s">
        <v>258</v>
      </c>
      <c r="JS26" s="342" t="s">
        <v>1929</v>
      </c>
      <c r="JT26" s="342" t="s">
        <v>259</v>
      </c>
      <c r="JU26" s="343" t="s">
        <v>1784</v>
      </c>
      <c r="JX26" s="287"/>
      <c r="JY26" s="287"/>
      <c r="JZ26" s="287"/>
      <c r="KA26" s="287"/>
      <c r="KB26" s="342" t="s">
        <v>1156</v>
      </c>
      <c r="KC26" s="342" t="s">
        <v>1157</v>
      </c>
      <c r="KD26" s="342" t="s">
        <v>1158</v>
      </c>
      <c r="KE26" s="342" t="s">
        <v>1184</v>
      </c>
      <c r="KF26" s="342" t="s">
        <v>260</v>
      </c>
      <c r="KG26" s="342" t="s">
        <v>261</v>
      </c>
      <c r="KH26" s="342" t="s">
        <v>262</v>
      </c>
      <c r="KI26" s="342" t="s">
        <v>263</v>
      </c>
      <c r="KJ26" s="342" t="s">
        <v>264</v>
      </c>
      <c r="KK26" s="342" t="s">
        <v>279</v>
      </c>
      <c r="KL26" s="342" t="s">
        <v>912</v>
      </c>
      <c r="KM26" s="343" t="s">
        <v>1785</v>
      </c>
      <c r="KP26" s="287"/>
      <c r="KQ26" s="287"/>
      <c r="KR26" s="287"/>
      <c r="KS26" s="287"/>
      <c r="KT26" s="342" t="s">
        <v>1159</v>
      </c>
      <c r="KU26" s="342" t="s">
        <v>1160</v>
      </c>
      <c r="KV26" s="342" t="s">
        <v>1161</v>
      </c>
      <c r="KW26" s="342" t="s">
        <v>1162</v>
      </c>
      <c r="KX26" s="342" t="s">
        <v>247</v>
      </c>
      <c r="KY26" s="342" t="s">
        <v>248</v>
      </c>
      <c r="KZ26" s="342" t="s">
        <v>249</v>
      </c>
      <c r="LA26" s="342" t="s">
        <v>250</v>
      </c>
      <c r="LB26" s="342" t="s">
        <v>251</v>
      </c>
      <c r="LC26" s="342" t="s">
        <v>252</v>
      </c>
      <c r="LD26" s="342" t="s">
        <v>253</v>
      </c>
      <c r="LE26" s="343" t="s">
        <v>1786</v>
      </c>
      <c r="LH26" s="287"/>
      <c r="LI26" s="287"/>
      <c r="LJ26" s="287"/>
      <c r="LK26" s="287"/>
      <c r="LL26" s="342" t="s">
        <v>1163</v>
      </c>
      <c r="LM26" s="342" t="s">
        <v>1164</v>
      </c>
      <c r="LN26" s="342" t="s">
        <v>1165</v>
      </c>
      <c r="LO26" s="342" t="s">
        <v>1166</v>
      </c>
      <c r="LP26" s="342" t="s">
        <v>1167</v>
      </c>
      <c r="LQ26" s="342" t="s">
        <v>913</v>
      </c>
      <c r="LR26" s="342" t="s">
        <v>265</v>
      </c>
      <c r="LS26" s="342" t="s">
        <v>266</v>
      </c>
      <c r="LT26" s="342" t="s">
        <v>914</v>
      </c>
      <c r="LU26" s="342" t="s">
        <v>280</v>
      </c>
      <c r="LV26" s="342" t="s">
        <v>281</v>
      </c>
      <c r="NA26" s="159"/>
      <c r="NB26" s="159"/>
      <c r="NC26" s="161"/>
      <c r="ND26" s="162"/>
      <c r="NE26" s="162"/>
      <c r="NF26" s="161"/>
      <c r="NG26" s="161"/>
      <c r="NH26" s="163"/>
      <c r="NI26" s="161"/>
      <c r="NJ26" s="161"/>
      <c r="NK26" s="163"/>
      <c r="NL26" s="163"/>
      <c r="NM26" s="161"/>
      <c r="NN26" s="161"/>
      <c r="NO26" s="161"/>
      <c r="NP26" s="164"/>
      <c r="NQ26" s="164"/>
      <c r="NR26" s="165"/>
      <c r="NS26" s="165"/>
      <c r="NT26" s="165"/>
      <c r="NU26" s="166"/>
      <c r="NV26" s="167"/>
      <c r="NW26" s="168"/>
      <c r="NX26" s="167"/>
      <c r="NY26" s="168"/>
      <c r="NZ26" s="167"/>
      <c r="OA26" s="166"/>
      <c r="OB26" s="161"/>
      <c r="OC26" s="161"/>
      <c r="OD26" s="166"/>
      <c r="OE26" s="166"/>
      <c r="OF26" s="166"/>
      <c r="OG26" s="166"/>
      <c r="OH26" s="167"/>
      <c r="OI26" s="161"/>
      <c r="OJ26" s="161"/>
      <c r="OK26" s="161"/>
      <c r="OL26" s="161"/>
      <c r="OM26" s="161"/>
      <c r="ON26" s="161"/>
      <c r="OO26" s="163"/>
      <c r="OP26" s="163"/>
      <c r="OQ26" s="161"/>
      <c r="OR26" s="161"/>
      <c r="OS26" s="169"/>
      <c r="OT26" s="169"/>
      <c r="OU26" s="169"/>
      <c r="OV26" s="169"/>
      <c r="OW26" s="169"/>
      <c r="OX26" s="161"/>
      <c r="OY26" s="162"/>
      <c r="OZ26" s="162"/>
      <c r="PA26" s="162"/>
      <c r="PB26" s="161"/>
      <c r="PC26" s="161"/>
      <c r="PD26" s="161"/>
      <c r="PE26" s="161"/>
      <c r="PF26" s="161"/>
      <c r="PG26" s="161"/>
      <c r="PH26" s="161"/>
      <c r="PI26" s="161"/>
      <c r="PJ26" s="161"/>
      <c r="PK26" s="161"/>
      <c r="PL26" s="582" t="str">
        <f>INDEX(Label_Instruction_Middle,1,data_Lang_LangValue+1)</f>
        <v>Load instruction</v>
      </c>
      <c r="PM26" s="583"/>
      <c r="PN26" s="583"/>
      <c r="PO26" s="583"/>
      <c r="PP26" s="583"/>
      <c r="PQ26" s="583"/>
      <c r="PR26" s="583"/>
      <c r="PS26" s="584"/>
      <c r="PT26" s="585" t="str">
        <f>INDEX(Label_Instruction_Middle,2,data_Lang_LangValue+1)</f>
        <v>Store instruction</v>
      </c>
      <c r="PU26" s="585"/>
      <c r="PV26" s="585"/>
      <c r="PW26" s="586"/>
      <c r="PX26" s="585"/>
      <c r="PY26" s="586"/>
      <c r="PZ26" s="170" t="s">
        <v>1410</v>
      </c>
      <c r="QA26" s="171"/>
      <c r="QB26" s="172"/>
      <c r="QC26" s="173"/>
      <c r="QD26" s="174" t="s">
        <v>1398</v>
      </c>
      <c r="QE26" s="175"/>
      <c r="QF26" s="173"/>
      <c r="QG26" s="176" t="s">
        <v>1382</v>
      </c>
      <c r="QH26" s="177"/>
      <c r="QI26" s="173"/>
      <c r="QJ26" s="173"/>
      <c r="QK26" s="173"/>
      <c r="QL26" s="173"/>
      <c r="QM26" s="173"/>
      <c r="QN26" s="178"/>
      <c r="QO26" s="161"/>
      <c r="QP26" s="161"/>
      <c r="QQ26" s="161"/>
      <c r="QR26" s="161"/>
      <c r="QS26" s="558" t="str">
        <f>INDEX(Label_Extra_Above,1,data_Lang_LangValue+1)</f>
        <v>Gather instruction rate (%)</v>
      </c>
      <c r="QT26" s="179"/>
      <c r="QU26" s="179"/>
      <c r="QV26" s="554" t="str">
        <f>INDEX(Label_Extra_Above,2,data_Lang_LangValue+1)</f>
        <v>Instruction</v>
      </c>
      <c r="QW26" s="179"/>
      <c r="QX26" s="179"/>
      <c r="QY26" s="179"/>
      <c r="QZ26" s="179"/>
      <c r="RA26" s="179"/>
      <c r="RB26" s="557"/>
      <c r="RC26" s="180"/>
      <c r="RD26" s="181"/>
      <c r="RE26" s="182"/>
      <c r="RF26" s="180"/>
      <c r="RG26" s="181"/>
      <c r="RH26" s="182"/>
      <c r="RI26" s="183"/>
      <c r="RJ26" s="167"/>
      <c r="RK26" s="853" t="str">
        <f>INDEX(Label_CMG_Above,1,data_Lang_LangValue+1)</f>
        <v>Destination (GB/s)</v>
      </c>
      <c r="RL26" s="854"/>
      <c r="RM26" s="854"/>
      <c r="RN26" s="854"/>
      <c r="RO26" s="854"/>
      <c r="RP26" s="854"/>
      <c r="RQ26" s="855"/>
      <c r="RR26" s="161"/>
      <c r="RS26" s="161"/>
      <c r="RT26" s="161"/>
      <c r="RU26" s="163"/>
      <c r="RV26" s="163"/>
      <c r="RW26" s="163"/>
      <c r="RX26" s="163"/>
      <c r="RY26" s="163"/>
      <c r="RZ26" s="163"/>
      <c r="SA26" s="163"/>
      <c r="SB26" s="163"/>
      <c r="SC26" s="163"/>
      <c r="SD26" s="163"/>
      <c r="SE26" s="163"/>
      <c r="SF26" s="163"/>
      <c r="SG26" s="163"/>
      <c r="SH26" s="163"/>
      <c r="SI26" s="163"/>
      <c r="SJ26" s="163"/>
      <c r="SK26" s="163"/>
      <c r="SL26" s="163"/>
      <c r="SM26" s="161"/>
      <c r="SN26" s="161"/>
      <c r="SO26" s="161"/>
      <c r="SP26" s="161"/>
      <c r="SQ26" s="161"/>
      <c r="SR26" s="161"/>
      <c r="SS26" s="161"/>
      <c r="ST26" s="161"/>
      <c r="SU26" s="161"/>
      <c r="SV26" s="161"/>
      <c r="SW26" s="161"/>
      <c r="SX26" s="161"/>
      <c r="SY26" s="161"/>
      <c r="SZ26" s="161"/>
      <c r="TA26" s="161"/>
      <c r="TB26" s="161"/>
      <c r="TC26" s="161"/>
      <c r="TD26" s="161"/>
      <c r="TE26" s="161"/>
      <c r="TF26" s="161"/>
      <c r="TG26" s="161"/>
    </row>
    <row r="27" spans="2:617" ht="31.5" x14ac:dyDescent="0.25">
      <c r="C27" s="337"/>
      <c r="D27" s="299" t="s">
        <v>1577</v>
      </c>
      <c r="AB27" s="348" t="s">
        <v>1787</v>
      </c>
      <c r="AC27" s="341"/>
      <c r="AD27" s="341"/>
      <c r="AE27" s="341"/>
      <c r="AF27" s="341"/>
      <c r="AG27" s="341"/>
      <c r="AH27" s="341"/>
      <c r="AI27" s="341"/>
      <c r="AJ27" s="341"/>
      <c r="AK27" s="349"/>
      <c r="AL27" s="350"/>
      <c r="AM27" s="270" t="s">
        <v>365</v>
      </c>
      <c r="AN27" s="270" t="s">
        <v>364</v>
      </c>
      <c r="AO27" s="270" t="s">
        <v>456</v>
      </c>
      <c r="AP27" s="287" t="s">
        <v>1181</v>
      </c>
      <c r="AQ27" s="270" t="s">
        <v>1071</v>
      </c>
      <c r="AR27" s="570" t="s">
        <v>1180</v>
      </c>
      <c r="AS27" s="270" t="s">
        <v>454</v>
      </c>
      <c r="AT27" s="270" t="s">
        <v>750</v>
      </c>
      <c r="AU27" s="350"/>
      <c r="AV27" s="350"/>
      <c r="AW27" s="350"/>
      <c r="AX27" s="350"/>
      <c r="AY27" s="350"/>
      <c r="AZ27" s="350"/>
      <c r="BA27" s="350"/>
      <c r="BB27" s="350"/>
      <c r="BC27" s="349"/>
      <c r="BD27" s="350"/>
      <c r="BE27" s="270" t="s">
        <v>366</v>
      </c>
      <c r="BF27" s="270" t="s">
        <v>778</v>
      </c>
      <c r="BG27" s="270" t="s">
        <v>753</v>
      </c>
      <c r="BH27" s="270" t="s">
        <v>372</v>
      </c>
      <c r="BI27" s="270" t="s">
        <v>367</v>
      </c>
      <c r="BJ27" s="270" t="s">
        <v>754</v>
      </c>
      <c r="BK27" s="270" t="s">
        <v>755</v>
      </c>
      <c r="BL27" s="270" t="s">
        <v>368</v>
      </c>
      <c r="BM27" s="350"/>
      <c r="BN27" s="350"/>
      <c r="BO27" s="350"/>
      <c r="BP27" s="350"/>
      <c r="BQ27" s="350"/>
      <c r="BR27" s="350"/>
      <c r="BS27" s="350"/>
      <c r="BT27" s="350"/>
      <c r="BU27" s="349"/>
      <c r="BV27" s="350"/>
      <c r="BW27" s="270" t="s">
        <v>758</v>
      </c>
      <c r="BX27" s="270" t="s">
        <v>52</v>
      </c>
      <c r="BY27" s="270" t="s">
        <v>759</v>
      </c>
      <c r="BZ27" s="270" t="s">
        <v>923</v>
      </c>
      <c r="CA27" s="270" t="s">
        <v>53</v>
      </c>
      <c r="CB27" s="270" t="s">
        <v>930</v>
      </c>
      <c r="CC27" s="270" t="s">
        <v>54</v>
      </c>
      <c r="CD27" s="270" t="s">
        <v>911</v>
      </c>
      <c r="CE27" s="350"/>
      <c r="CF27" s="350"/>
      <c r="CG27" s="350"/>
      <c r="CH27" s="350"/>
      <c r="CI27" s="350"/>
      <c r="CJ27" s="350"/>
      <c r="CK27" s="350"/>
      <c r="CL27" s="350"/>
      <c r="CM27" s="349"/>
      <c r="CN27" s="350"/>
      <c r="CO27" s="270" t="s">
        <v>1071</v>
      </c>
      <c r="CP27" s="270" t="s">
        <v>764</v>
      </c>
      <c r="CQ27" s="270" t="s">
        <v>378</v>
      </c>
      <c r="CR27" s="270" t="s">
        <v>765</v>
      </c>
      <c r="CS27" s="270" t="s">
        <v>371</v>
      </c>
      <c r="CT27" s="351" t="s">
        <v>369</v>
      </c>
      <c r="CU27" s="351" t="s">
        <v>763</v>
      </c>
      <c r="CV27" s="287" t="s">
        <v>1180</v>
      </c>
      <c r="CW27" s="350"/>
      <c r="CX27" s="350"/>
      <c r="CY27" s="350"/>
      <c r="CZ27" s="350"/>
      <c r="DA27" s="350"/>
      <c r="DB27" s="350"/>
      <c r="DC27" s="350"/>
      <c r="DD27" s="350"/>
      <c r="DE27" s="349"/>
      <c r="DF27" s="350"/>
      <c r="DG27" s="270" t="s">
        <v>769</v>
      </c>
      <c r="DH27" s="270" t="s">
        <v>770</v>
      </c>
      <c r="DI27" s="270" t="s">
        <v>771</v>
      </c>
      <c r="DJ27" s="270" t="s">
        <v>774</v>
      </c>
      <c r="DK27" s="270" t="s">
        <v>775</v>
      </c>
      <c r="DL27" s="270" t="s">
        <v>773</v>
      </c>
      <c r="DM27" s="270" t="s">
        <v>93</v>
      </c>
      <c r="DN27" s="270" t="s">
        <v>370</v>
      </c>
      <c r="DO27" s="350"/>
      <c r="DP27" s="350"/>
      <c r="DQ27" s="350"/>
      <c r="DR27" s="350"/>
      <c r="DS27" s="350"/>
      <c r="DT27" s="350"/>
      <c r="DU27" s="350"/>
      <c r="DV27" s="350"/>
      <c r="DW27" s="349"/>
      <c r="DX27" s="350"/>
      <c r="DY27" s="270" t="s">
        <v>776</v>
      </c>
      <c r="DZ27" s="270" t="s">
        <v>777</v>
      </c>
      <c r="EA27" s="270" t="s">
        <v>373</v>
      </c>
      <c r="EB27" s="270" t="s">
        <v>175</v>
      </c>
      <c r="EC27" s="270" t="s">
        <v>269</v>
      </c>
      <c r="ED27" s="270" t="s">
        <v>374</v>
      </c>
      <c r="EE27" s="270" t="s">
        <v>391</v>
      </c>
      <c r="EF27" s="270" t="s">
        <v>376</v>
      </c>
      <c r="EG27" s="350"/>
      <c r="EH27" s="350"/>
      <c r="EI27" s="350"/>
      <c r="EJ27" s="350"/>
      <c r="EK27" s="350"/>
      <c r="EL27" s="350"/>
      <c r="EM27" s="350"/>
      <c r="EN27" s="350"/>
      <c r="EO27" s="349"/>
      <c r="EP27" s="350"/>
      <c r="EQ27" s="270" t="s">
        <v>56</v>
      </c>
      <c r="ER27" s="270" t="s">
        <v>57</v>
      </c>
      <c r="ES27" s="270" t="s">
        <v>51</v>
      </c>
      <c r="ET27" s="270" t="s">
        <v>375</v>
      </c>
      <c r="EU27" s="270" t="s">
        <v>784</v>
      </c>
      <c r="EV27" s="270" t="s">
        <v>382</v>
      </c>
      <c r="EW27" s="270" t="s">
        <v>785</v>
      </c>
      <c r="EX27" s="270" t="s">
        <v>383</v>
      </c>
      <c r="EY27" s="350"/>
      <c r="EZ27" s="350"/>
      <c r="FA27" s="350"/>
      <c r="FB27" s="350"/>
      <c r="FC27" s="350"/>
      <c r="FD27" s="350"/>
      <c r="FE27" s="350"/>
      <c r="FF27" s="350"/>
      <c r="FG27" s="349"/>
      <c r="FH27" s="350"/>
      <c r="FI27" s="270" t="s">
        <v>783</v>
      </c>
      <c r="FJ27" s="270" t="s">
        <v>779</v>
      </c>
      <c r="FK27" s="270" t="s">
        <v>780</v>
      </c>
      <c r="FL27" s="270" t="s">
        <v>94</v>
      </c>
      <c r="FM27" s="270" t="s">
        <v>782</v>
      </c>
      <c r="FN27" s="270" t="s">
        <v>55</v>
      </c>
      <c r="FO27" s="270" t="s">
        <v>760</v>
      </c>
      <c r="FP27" s="270" t="s">
        <v>761</v>
      </c>
      <c r="FQ27" s="350"/>
      <c r="FR27" s="350"/>
      <c r="FS27" s="350"/>
      <c r="FT27" s="350"/>
      <c r="FU27" s="350"/>
      <c r="FV27" s="350"/>
      <c r="FW27" s="350"/>
      <c r="FX27" s="350"/>
      <c r="FY27" s="349"/>
      <c r="FZ27" s="350"/>
      <c r="GA27" s="270" t="s">
        <v>378</v>
      </c>
      <c r="GB27" s="270" t="s">
        <v>377</v>
      </c>
      <c r="GC27" s="270" t="s">
        <v>58</v>
      </c>
      <c r="GD27" s="270" t="s">
        <v>379</v>
      </c>
      <c r="GE27" s="270" t="s">
        <v>380</v>
      </c>
      <c r="GF27" s="270" t="s">
        <v>787</v>
      </c>
      <c r="GG27" s="270" t="s">
        <v>381</v>
      </c>
      <c r="GH27" s="287" t="s">
        <v>1180</v>
      </c>
      <c r="GI27" s="350"/>
      <c r="GJ27" s="350"/>
      <c r="GK27" s="350"/>
      <c r="GL27" s="350"/>
      <c r="GM27" s="350"/>
      <c r="GN27" s="350"/>
      <c r="GO27" s="350"/>
      <c r="GP27" s="350"/>
      <c r="GQ27" s="349"/>
      <c r="GR27" s="350"/>
      <c r="GS27" s="270" t="s">
        <v>789</v>
      </c>
      <c r="GT27" s="270" t="s">
        <v>790</v>
      </c>
      <c r="GU27" s="270" t="s">
        <v>791</v>
      </c>
      <c r="GV27" s="270" t="s">
        <v>384</v>
      </c>
      <c r="GW27" s="270" t="s">
        <v>385</v>
      </c>
      <c r="GX27" s="270" t="s">
        <v>792</v>
      </c>
      <c r="GY27" s="270" t="s">
        <v>386</v>
      </c>
      <c r="GZ27" s="270" t="s">
        <v>387</v>
      </c>
      <c r="HA27" s="350"/>
      <c r="HB27" s="350"/>
      <c r="HC27" s="350"/>
      <c r="HD27" s="350"/>
      <c r="HE27" s="350"/>
      <c r="HF27" s="350"/>
      <c r="HG27" s="350"/>
      <c r="HH27" s="350"/>
      <c r="HI27" s="349"/>
      <c r="HJ27" s="350"/>
      <c r="HK27" s="270" t="s">
        <v>793</v>
      </c>
      <c r="HL27" s="270" t="s">
        <v>455</v>
      </c>
      <c r="HM27" s="270" t="s">
        <v>794</v>
      </c>
      <c r="HN27" s="270" t="s">
        <v>389</v>
      </c>
      <c r="HO27" s="270" t="s">
        <v>796</v>
      </c>
      <c r="HP27" s="270" t="s">
        <v>795</v>
      </c>
      <c r="HQ27" s="270" t="s">
        <v>772</v>
      </c>
      <c r="HR27" s="270" t="s">
        <v>388</v>
      </c>
      <c r="HS27" s="350"/>
      <c r="HT27" s="350"/>
      <c r="HU27" s="350"/>
      <c r="HV27" s="350"/>
      <c r="HW27" s="350"/>
      <c r="HX27" s="350"/>
      <c r="HY27" s="350"/>
      <c r="HZ27" s="350"/>
      <c r="IA27" s="349"/>
      <c r="IB27" s="350"/>
      <c r="IC27" s="270" t="s">
        <v>397</v>
      </c>
      <c r="ID27" s="270" t="s">
        <v>797</v>
      </c>
      <c r="IE27" s="270" t="s">
        <v>392</v>
      </c>
      <c r="IF27" s="270" t="s">
        <v>398</v>
      </c>
      <c r="IG27" s="270" t="s">
        <v>448</v>
      </c>
      <c r="IH27" s="270" t="s">
        <v>387</v>
      </c>
      <c r="II27" s="270"/>
      <c r="IJ27" s="270"/>
      <c r="IK27" s="350"/>
      <c r="IL27" s="350"/>
      <c r="IM27" s="350"/>
      <c r="IN27" s="350"/>
      <c r="IO27" s="350"/>
      <c r="IP27" s="350"/>
      <c r="IQ27" s="350"/>
      <c r="IR27" s="350"/>
      <c r="IS27" s="349"/>
      <c r="IT27" s="350"/>
      <c r="IU27" s="270" t="s">
        <v>799</v>
      </c>
      <c r="IV27" s="270" t="s">
        <v>800</v>
      </c>
      <c r="IW27" s="270" t="s">
        <v>803</v>
      </c>
      <c r="IX27" s="270" t="s">
        <v>458</v>
      </c>
      <c r="IY27" s="270" t="s">
        <v>802</v>
      </c>
      <c r="IZ27" s="270" t="s">
        <v>97</v>
      </c>
      <c r="JA27" s="270" t="s">
        <v>390</v>
      </c>
      <c r="JB27" s="270"/>
      <c r="JC27" s="350"/>
      <c r="JD27" s="350"/>
      <c r="JE27" s="350"/>
      <c r="JF27" s="350"/>
      <c r="JG27" s="350"/>
      <c r="JH27" s="350"/>
      <c r="JI27" s="350"/>
      <c r="JJ27" s="350"/>
      <c r="JK27" s="349"/>
      <c r="JL27" s="350"/>
      <c r="JM27" s="270" t="s">
        <v>798</v>
      </c>
      <c r="JN27" s="270" t="s">
        <v>393</v>
      </c>
      <c r="JO27" s="270" t="s">
        <v>394</v>
      </c>
      <c r="JP27" s="270" t="s">
        <v>395</v>
      </c>
      <c r="JQ27" s="270" t="s">
        <v>396</v>
      </c>
      <c r="JR27" s="270" t="s">
        <v>102</v>
      </c>
      <c r="JS27" s="270" t="s">
        <v>104</v>
      </c>
      <c r="JT27" s="270"/>
      <c r="JU27" s="350"/>
      <c r="JV27" s="350"/>
      <c r="JW27" s="350"/>
      <c r="JX27" s="350"/>
      <c r="JY27" s="350"/>
      <c r="JZ27" s="350"/>
      <c r="KA27" s="350"/>
      <c r="KB27" s="350"/>
      <c r="KC27" s="349"/>
      <c r="KD27" s="350"/>
      <c r="KE27" s="270" t="s">
        <v>101</v>
      </c>
      <c r="KF27" s="270" t="s">
        <v>99</v>
      </c>
      <c r="KG27" s="270" t="s">
        <v>801</v>
      </c>
      <c r="KH27" s="270" t="s">
        <v>399</v>
      </c>
      <c r="KI27" s="270" t="s">
        <v>400</v>
      </c>
      <c r="KJ27" s="270" t="s">
        <v>781</v>
      </c>
      <c r="KK27" s="270" t="s">
        <v>591</v>
      </c>
      <c r="KL27" s="270"/>
      <c r="KM27" s="350"/>
      <c r="KN27" s="350"/>
      <c r="KO27" s="350"/>
      <c r="KP27" s="350"/>
      <c r="KQ27" s="350"/>
      <c r="KR27" s="350"/>
      <c r="KS27" s="350"/>
      <c r="KT27" s="350"/>
      <c r="KU27" s="349"/>
      <c r="KV27" s="350"/>
      <c r="KW27" s="270" t="s">
        <v>804</v>
      </c>
      <c r="KX27" s="270" t="s">
        <v>95</v>
      </c>
      <c r="KY27" s="270" t="s">
        <v>96</v>
      </c>
      <c r="KZ27" s="270" t="s">
        <v>98</v>
      </c>
      <c r="LA27" s="270" t="s">
        <v>100</v>
      </c>
      <c r="LB27" s="270" t="s">
        <v>103</v>
      </c>
      <c r="LC27" s="270" t="s">
        <v>105</v>
      </c>
      <c r="LD27" s="270" t="s">
        <v>106</v>
      </c>
      <c r="LE27" s="350"/>
      <c r="LF27" s="350"/>
      <c r="LG27" s="350"/>
      <c r="LH27" s="350"/>
      <c r="LI27" s="350"/>
      <c r="LJ27" s="350"/>
      <c r="LK27" s="350"/>
      <c r="LL27" s="350"/>
      <c r="LM27" s="349"/>
      <c r="LN27" s="350"/>
      <c r="LO27" s="270" t="s">
        <v>805</v>
      </c>
      <c r="LP27" s="270" t="s">
        <v>806</v>
      </c>
      <c r="LQ27" s="270" t="s">
        <v>107</v>
      </c>
      <c r="LR27" s="270" t="s">
        <v>178</v>
      </c>
      <c r="LS27" s="270" t="s">
        <v>176</v>
      </c>
      <c r="LT27" s="270" t="s">
        <v>177</v>
      </c>
      <c r="LU27" s="270"/>
      <c r="LV27" s="270"/>
      <c r="NA27" s="159"/>
      <c r="NB27" s="159"/>
      <c r="NC27" s="162"/>
      <c r="ND27" s="162"/>
      <c r="NE27" s="162"/>
      <c r="NF27" s="162"/>
      <c r="NG27" s="162"/>
      <c r="NH27" s="162"/>
      <c r="NI27" s="162"/>
      <c r="NJ27" s="162"/>
      <c r="NK27" s="162"/>
      <c r="NL27" s="162"/>
      <c r="NM27" s="162"/>
      <c r="NN27" s="162"/>
      <c r="NO27" s="598" t="str">
        <f>INDEX(Label_CycleAccounting_Above,1,data_Lang_LangValue+1)</f>
        <v>Prefetch port busy wait</v>
      </c>
      <c r="NP27" s="599"/>
      <c r="NQ27" s="184" t="str">
        <f>INDEX(Label_CycleAccounting_Above,2,data_Lang_LangValue+1)</f>
        <v>Memory access wait &amp; Cache access wait</v>
      </c>
      <c r="NR27" s="185"/>
      <c r="NS27" s="186"/>
      <c r="NT27" s="185"/>
      <c r="NU27" s="185"/>
      <c r="NV27" s="187"/>
      <c r="NW27" s="188" t="str">
        <f>INDEX(Label_CycleAccounting_Above,3,data_Lang_LangValue+1)</f>
        <v>Operation wait</v>
      </c>
      <c r="NX27" s="187"/>
      <c r="NY27" s="184" t="str">
        <f>INDEX(Label_CycleAccounting_Above,4,data_Lang_LangValue+1)</f>
        <v>Other wait</v>
      </c>
      <c r="NZ27" s="187"/>
      <c r="OA27" s="185"/>
      <c r="OB27" s="189"/>
      <c r="OC27" s="189"/>
      <c r="OD27" s="188" t="str">
        <f>INDEX(Label_CycleAccounting_Above,9,data_Lang_LangValue+1)</f>
        <v>Other instruction commit</v>
      </c>
      <c r="OE27" s="185"/>
      <c r="OF27" s="185"/>
      <c r="OG27" s="185"/>
      <c r="OH27" s="187"/>
      <c r="OI27" s="190"/>
      <c r="OJ27" s="162"/>
      <c r="OK27" s="162"/>
      <c r="OL27" s="162"/>
      <c r="OM27" s="162"/>
      <c r="ON27" s="162"/>
      <c r="OO27" s="162"/>
      <c r="OP27" s="162"/>
      <c r="OQ27" s="162"/>
      <c r="OR27" s="162"/>
      <c r="OS27" s="191"/>
      <c r="OT27" s="191"/>
      <c r="OU27" s="191"/>
      <c r="OV27" s="191"/>
      <c r="OW27" s="191"/>
      <c r="OX27" s="162"/>
      <c r="OY27" s="162"/>
      <c r="OZ27" s="162"/>
      <c r="PA27" s="162"/>
      <c r="PB27" s="162"/>
      <c r="PC27" s="162"/>
      <c r="PD27" s="162"/>
      <c r="PE27" s="162"/>
      <c r="PF27" s="162"/>
      <c r="PG27" s="162"/>
      <c r="PH27" s="162"/>
      <c r="PI27" s="162"/>
      <c r="PJ27" s="162"/>
      <c r="PK27" s="162"/>
      <c r="PL27" s="587" t="str">
        <f>INDEX(Label_Instruction_Middle2,1,data_Lang_LangValue+1)</f>
        <v>SIMD</v>
      </c>
      <c r="PM27" s="588"/>
      <c r="PN27" s="588"/>
      <c r="PO27" s="588"/>
      <c r="PP27" s="588"/>
      <c r="PQ27" s="588"/>
      <c r="PR27" s="589"/>
      <c r="PS27" s="590" t="str">
        <f>INDEX(Label_Instruction_Middle2,2,data_Lang_LangValue+1)</f>
        <v>Non-SIMD</v>
      </c>
      <c r="PT27" s="587" t="str">
        <f>INDEX(Label_Instruction_Middle2,3,data_Lang_LangValue+1)</f>
        <v>SIMD</v>
      </c>
      <c r="PU27" s="588"/>
      <c r="PV27" s="588"/>
      <c r="PW27" s="588"/>
      <c r="PX27" s="588"/>
      <c r="PY27" s="591" t="str">
        <f>INDEX(Label_Instruction_Middle2,4,data_Lang_LangValue+1)</f>
        <v>Non-SIMD</v>
      </c>
      <c r="PZ27" s="192"/>
      <c r="QA27" s="192"/>
      <c r="QB27" s="192"/>
      <c r="QC27" s="282"/>
      <c r="QD27" s="193"/>
      <c r="QE27" s="194"/>
      <c r="QF27" s="195"/>
      <c r="QG27" s="196"/>
      <c r="QH27" s="197"/>
      <c r="QI27" s="198"/>
      <c r="QJ27" s="281"/>
      <c r="QK27" s="198"/>
      <c r="QL27" s="198"/>
      <c r="QM27" s="198"/>
      <c r="QN27" s="198"/>
      <c r="QO27" s="162"/>
      <c r="QP27" s="162"/>
      <c r="QQ27" s="162"/>
      <c r="QR27" s="162"/>
      <c r="QS27" s="203"/>
      <c r="QT27" s="203"/>
      <c r="QU27" s="203"/>
      <c r="QW27" s="199"/>
      <c r="QX27" s="199"/>
      <c r="QY27" s="200"/>
      <c r="QZ27" s="201"/>
      <c r="RA27" s="202"/>
      <c r="RB27" s="191"/>
      <c r="RC27" s="188" t="str">
        <f>INDEX(Label_HardwarePrefetch_Above,1,data_Lang_LangValue+1)</f>
        <v>L1</v>
      </c>
      <c r="RD27" s="185"/>
      <c r="RE27" s="187"/>
      <c r="RF27" s="188" t="str">
        <f>INDEX(Label_HardwarePrefetch_Above,2,data_Lang_LangValue+1)</f>
        <v>L2</v>
      </c>
      <c r="RG27" s="185"/>
      <c r="RH27" s="187"/>
      <c r="RI27" s="204" t="str">
        <f>INDEX(Label_HardwarePrefetch_Above,3,data_Lang_LangValue+1)</f>
        <v>L1/L2</v>
      </c>
      <c r="RJ27" s="205"/>
      <c r="RK27" s="856"/>
      <c r="RL27" s="857"/>
      <c r="RM27" s="857"/>
      <c r="RN27" s="857"/>
      <c r="RO27" s="857"/>
      <c r="RP27" s="857"/>
      <c r="RQ27" s="858"/>
      <c r="RR27" s="162"/>
      <c r="RS27" s="162"/>
      <c r="RT27" s="162"/>
      <c r="RU27" s="206" t="str">
        <f t="shared" ref="RU27:SL27" si="2">INDEX(Label_Time,1+COLUMN(RU$27)-COLUMN($RU$27),data_Lang_LangValue+1)</f>
        <v>Base Time (s)</v>
      </c>
      <c r="RV27" s="206" t="str">
        <f t="shared" si="2"/>
        <v>statistics</v>
      </c>
      <c r="RW27" s="206" t="str">
        <f t="shared" si="2"/>
        <v>cycleaccounting1</v>
      </c>
      <c r="RX27" s="206" t="str">
        <f t="shared" si="2"/>
        <v>busy1</v>
      </c>
      <c r="RY27" s="206" t="str">
        <f t="shared" si="2"/>
        <v>cache1</v>
      </c>
      <c r="RZ27" s="206" t="str">
        <f t="shared" si="2"/>
        <v>instruction1</v>
      </c>
      <c r="SA27" s="206" t="str">
        <f t="shared" si="2"/>
        <v>cycleaccounting2</v>
      </c>
      <c r="SB27" s="206" t="str">
        <f t="shared" si="2"/>
        <v>cycleaccounting3</v>
      </c>
      <c r="SC27" s="206" t="str">
        <f t="shared" si="2"/>
        <v>busy2</v>
      </c>
      <c r="SD27" s="206" t="str">
        <f t="shared" si="2"/>
        <v>cache2</v>
      </c>
      <c r="SE27" s="206" t="str">
        <f t="shared" si="2"/>
        <v>instruction2</v>
      </c>
      <c r="SF27" s="206" t="str">
        <f t="shared" si="2"/>
        <v>instruction3</v>
      </c>
      <c r="SG27" s="206" t="str">
        <f t="shared" si="2"/>
        <v>cycleaccountingex</v>
      </c>
      <c r="SH27" s="206" t="str">
        <f t="shared" si="2"/>
        <v>hardwareprefetch</v>
      </c>
      <c r="SI27" s="206" t="str">
        <f t="shared" si="2"/>
        <v>extra1</v>
      </c>
      <c r="SJ27" s="206" t="str">
        <f t="shared" si="2"/>
        <v>extra2</v>
      </c>
      <c r="SK27" s="206" t="str">
        <f t="shared" si="2"/>
        <v>CMG1</v>
      </c>
      <c r="SL27" s="206" t="str">
        <f t="shared" si="2"/>
        <v>CMG2</v>
      </c>
      <c r="SM27" s="162"/>
      <c r="SN27" s="162"/>
      <c r="SO27" s="162"/>
      <c r="SP27" s="162"/>
      <c r="SQ27" s="162"/>
      <c r="SR27" s="162"/>
      <c r="SS27" s="162"/>
      <c r="ST27" s="162"/>
      <c r="SU27" s="162"/>
      <c r="SV27" s="162"/>
      <c r="SW27" s="162"/>
      <c r="SX27" s="162"/>
      <c r="SY27" s="162"/>
      <c r="SZ27" s="162"/>
      <c r="TA27" s="162"/>
      <c r="TB27" s="162"/>
      <c r="TC27" s="162"/>
      <c r="TD27" s="162"/>
      <c r="TE27" s="162"/>
      <c r="TF27" s="162"/>
      <c r="TG27" s="162"/>
      <c r="TQ27" s="284" t="s">
        <v>1765</v>
      </c>
      <c r="UC27" s="284" t="s">
        <v>1766</v>
      </c>
      <c r="VA27" s="284" t="s">
        <v>1768</v>
      </c>
      <c r="VH27" s="357"/>
      <c r="VI27" s="284" t="s">
        <v>1769</v>
      </c>
      <c r="VL27" s="357"/>
      <c r="VM27" s="284" t="s">
        <v>1769</v>
      </c>
      <c r="VQ27" s="284" t="s">
        <v>1769</v>
      </c>
    </row>
    <row r="28" spans="2:617" ht="95.25" thickBot="1" x14ac:dyDescent="0.4">
      <c r="AB28" s="358" t="s">
        <v>1172</v>
      </c>
      <c r="AC28" s="341" t="s">
        <v>1342</v>
      </c>
      <c r="AD28" s="341" t="s">
        <v>523</v>
      </c>
      <c r="AE28" s="341" t="s">
        <v>743</v>
      </c>
      <c r="AF28" s="341" t="s">
        <v>744</v>
      </c>
      <c r="AG28" s="341" t="s">
        <v>1343</v>
      </c>
      <c r="AH28" s="341" t="s">
        <v>745</v>
      </c>
      <c r="AI28" s="341" t="s">
        <v>746</v>
      </c>
      <c r="AJ28" s="341" t="s">
        <v>747</v>
      </c>
      <c r="AK28" s="349" t="s">
        <v>748</v>
      </c>
      <c r="AL28" s="350" t="s">
        <v>749</v>
      </c>
      <c r="AM28" s="359" t="s">
        <v>419</v>
      </c>
      <c r="AN28" s="359" t="s">
        <v>420</v>
      </c>
      <c r="AO28" s="359" t="s">
        <v>1199</v>
      </c>
      <c r="AP28" s="359" t="s">
        <v>1200</v>
      </c>
      <c r="AQ28" s="359" t="s">
        <v>1201</v>
      </c>
      <c r="AR28" s="359" t="s">
        <v>1202</v>
      </c>
      <c r="AS28" s="359" t="s">
        <v>1203</v>
      </c>
      <c r="AT28" s="359" t="s">
        <v>421</v>
      </c>
      <c r="AU28" s="341" t="s">
        <v>1342</v>
      </c>
      <c r="AV28" s="341" t="s">
        <v>523</v>
      </c>
      <c r="AW28" s="350" t="s">
        <v>524</v>
      </c>
      <c r="AX28" s="350" t="s">
        <v>744</v>
      </c>
      <c r="AY28" s="341" t="s">
        <v>1343</v>
      </c>
      <c r="AZ28" s="350" t="s">
        <v>751</v>
      </c>
      <c r="BA28" s="350" t="s">
        <v>746</v>
      </c>
      <c r="BB28" s="350" t="s">
        <v>517</v>
      </c>
      <c r="BC28" s="349" t="s">
        <v>748</v>
      </c>
      <c r="BD28" s="350" t="s">
        <v>752</v>
      </c>
      <c r="BE28" s="359" t="s">
        <v>1204</v>
      </c>
      <c r="BF28" s="359" t="s">
        <v>1205</v>
      </c>
      <c r="BG28" s="359" t="s">
        <v>1206</v>
      </c>
      <c r="BH28" s="359" t="s">
        <v>1207</v>
      </c>
      <c r="BI28" s="359" t="s">
        <v>1208</v>
      </c>
      <c r="BJ28" s="359" t="s">
        <v>1209</v>
      </c>
      <c r="BK28" s="359" t="s">
        <v>1210</v>
      </c>
      <c r="BL28" s="359" t="s">
        <v>1211</v>
      </c>
      <c r="BM28" s="341" t="s">
        <v>1342</v>
      </c>
      <c r="BN28" s="350" t="s">
        <v>756</v>
      </c>
      <c r="BO28" s="350" t="s">
        <v>524</v>
      </c>
      <c r="BP28" s="350" t="s">
        <v>76</v>
      </c>
      <c r="BQ28" s="341" t="s">
        <v>1343</v>
      </c>
      <c r="BR28" s="350" t="s">
        <v>525</v>
      </c>
      <c r="BS28" s="350" t="s">
        <v>757</v>
      </c>
      <c r="BT28" s="350" t="s">
        <v>747</v>
      </c>
      <c r="BU28" s="349" t="s">
        <v>271</v>
      </c>
      <c r="BV28" s="350" t="s">
        <v>749</v>
      </c>
      <c r="BW28" s="359" t="s">
        <v>1212</v>
      </c>
      <c r="BX28" s="359" t="s">
        <v>1213</v>
      </c>
      <c r="BY28" s="359" t="s">
        <v>1214</v>
      </c>
      <c r="BZ28" s="359" t="s">
        <v>1215</v>
      </c>
      <c r="CA28" s="359" t="s">
        <v>1216</v>
      </c>
      <c r="CB28" s="359" t="s">
        <v>1217</v>
      </c>
      <c r="CC28" s="359" t="s">
        <v>1218</v>
      </c>
      <c r="CD28" s="359" t="s">
        <v>1219</v>
      </c>
      <c r="CE28" s="341" t="s">
        <v>1342</v>
      </c>
      <c r="CF28" s="350" t="s">
        <v>756</v>
      </c>
      <c r="CG28" s="350" t="s">
        <v>743</v>
      </c>
      <c r="CH28" s="350" t="s">
        <v>744</v>
      </c>
      <c r="CI28" s="341" t="s">
        <v>1343</v>
      </c>
      <c r="CJ28" s="350" t="s">
        <v>751</v>
      </c>
      <c r="CK28" s="350" t="s">
        <v>526</v>
      </c>
      <c r="CL28" s="350" t="s">
        <v>747</v>
      </c>
      <c r="CM28" s="349" t="s">
        <v>762</v>
      </c>
      <c r="CN28" s="350" t="s">
        <v>749</v>
      </c>
      <c r="CO28" s="359" t="s">
        <v>1201</v>
      </c>
      <c r="CP28" s="359" t="s">
        <v>1220</v>
      </c>
      <c r="CQ28" s="359" t="s">
        <v>1911</v>
      </c>
      <c r="CR28" s="359" t="s">
        <v>1199</v>
      </c>
      <c r="CS28" s="359" t="s">
        <v>1221</v>
      </c>
      <c r="CT28" s="360" t="s">
        <v>320</v>
      </c>
      <c r="CU28" s="360" t="s">
        <v>323</v>
      </c>
      <c r="CV28" s="359" t="s">
        <v>1202</v>
      </c>
      <c r="CW28" s="341" t="s">
        <v>1342</v>
      </c>
      <c r="CX28" s="350" t="s">
        <v>766</v>
      </c>
      <c r="CY28" s="350" t="s">
        <v>524</v>
      </c>
      <c r="CZ28" s="350" t="s">
        <v>767</v>
      </c>
      <c r="DA28" s="341" t="s">
        <v>1343</v>
      </c>
      <c r="DB28" s="350" t="s">
        <v>751</v>
      </c>
      <c r="DC28" s="350" t="s">
        <v>526</v>
      </c>
      <c r="DD28" s="350" t="s">
        <v>747</v>
      </c>
      <c r="DE28" s="349" t="s">
        <v>768</v>
      </c>
      <c r="DF28" s="350" t="s">
        <v>270</v>
      </c>
      <c r="DG28" s="359" t="s">
        <v>423</v>
      </c>
      <c r="DH28" s="359" t="s">
        <v>424</v>
      </c>
      <c r="DI28" s="359" t="s">
        <v>325</v>
      </c>
      <c r="DJ28" s="359" t="s">
        <v>1222</v>
      </c>
      <c r="DK28" s="359" t="s">
        <v>1223</v>
      </c>
      <c r="DL28" s="359" t="s">
        <v>425</v>
      </c>
      <c r="DM28" s="359" t="s">
        <v>426</v>
      </c>
      <c r="DN28" s="359" t="s">
        <v>422</v>
      </c>
      <c r="DO28" s="341" t="s">
        <v>1342</v>
      </c>
      <c r="DP28" s="350" t="s">
        <v>766</v>
      </c>
      <c r="DQ28" s="350" t="s">
        <v>524</v>
      </c>
      <c r="DR28" s="350" t="s">
        <v>767</v>
      </c>
      <c r="DS28" s="341" t="s">
        <v>1343</v>
      </c>
      <c r="DT28" s="350" t="s">
        <v>745</v>
      </c>
      <c r="DU28" s="350" t="s">
        <v>526</v>
      </c>
      <c r="DV28" s="350" t="s">
        <v>517</v>
      </c>
      <c r="DW28" s="349" t="s">
        <v>271</v>
      </c>
      <c r="DX28" s="350" t="s">
        <v>270</v>
      </c>
      <c r="DY28" s="359" t="s">
        <v>1225</v>
      </c>
      <c r="DZ28" s="359" t="s">
        <v>1226</v>
      </c>
      <c r="EA28" s="359" t="s">
        <v>1227</v>
      </c>
      <c r="EB28" s="359" t="s">
        <v>1228</v>
      </c>
      <c r="EC28" s="359" t="s">
        <v>1229</v>
      </c>
      <c r="ED28" s="359" t="s">
        <v>1230</v>
      </c>
      <c r="EE28" s="359" t="s">
        <v>1255</v>
      </c>
      <c r="EF28" s="359" t="s">
        <v>1232</v>
      </c>
      <c r="EG28" s="341" t="s">
        <v>1342</v>
      </c>
      <c r="EH28" s="350" t="s">
        <v>523</v>
      </c>
      <c r="EI28" s="350" t="s">
        <v>524</v>
      </c>
      <c r="EJ28" s="350" t="s">
        <v>76</v>
      </c>
      <c r="EK28" s="341" t="s">
        <v>1343</v>
      </c>
      <c r="EL28" s="350" t="s">
        <v>751</v>
      </c>
      <c r="EM28" s="350" t="s">
        <v>526</v>
      </c>
      <c r="EN28" s="350" t="s">
        <v>517</v>
      </c>
      <c r="EO28" s="349" t="s">
        <v>271</v>
      </c>
      <c r="EP28" s="350" t="s">
        <v>270</v>
      </c>
      <c r="EQ28" s="359" t="s">
        <v>1233</v>
      </c>
      <c r="ER28" s="359" t="s">
        <v>1234</v>
      </c>
      <c r="ES28" s="359" t="s">
        <v>1235</v>
      </c>
      <c r="ET28" s="359" t="s">
        <v>1231</v>
      </c>
      <c r="EU28" s="359" t="s">
        <v>429</v>
      </c>
      <c r="EV28" s="359" t="s">
        <v>430</v>
      </c>
      <c r="EW28" s="359" t="s">
        <v>431</v>
      </c>
      <c r="EX28" s="359" t="s">
        <v>432</v>
      </c>
      <c r="EY28" s="341" t="s">
        <v>1342</v>
      </c>
      <c r="EZ28" s="350" t="s">
        <v>523</v>
      </c>
      <c r="FA28" s="350" t="s">
        <v>524</v>
      </c>
      <c r="FB28" s="350" t="s">
        <v>744</v>
      </c>
      <c r="FC28" s="341" t="s">
        <v>1343</v>
      </c>
      <c r="FD28" s="350" t="s">
        <v>751</v>
      </c>
      <c r="FE28" s="350" t="s">
        <v>746</v>
      </c>
      <c r="FF28" s="350" t="s">
        <v>517</v>
      </c>
      <c r="FG28" s="349" t="s">
        <v>748</v>
      </c>
      <c r="FH28" s="350" t="s">
        <v>270</v>
      </c>
      <c r="FI28" s="359" t="s">
        <v>1273</v>
      </c>
      <c r="FJ28" s="359" t="s">
        <v>1236</v>
      </c>
      <c r="FK28" s="359" t="s">
        <v>1237</v>
      </c>
      <c r="FL28" s="359" t="s">
        <v>1238</v>
      </c>
      <c r="FM28" s="359" t="s">
        <v>1241</v>
      </c>
      <c r="FN28" s="359" t="s">
        <v>1242</v>
      </c>
      <c r="FO28" s="359" t="s">
        <v>1243</v>
      </c>
      <c r="FP28" s="359" t="s">
        <v>1244</v>
      </c>
      <c r="FQ28" s="341" t="s">
        <v>1342</v>
      </c>
      <c r="FR28" s="350" t="s">
        <v>766</v>
      </c>
      <c r="FS28" s="350" t="s">
        <v>786</v>
      </c>
      <c r="FT28" s="350" t="s">
        <v>767</v>
      </c>
      <c r="FU28" s="341" t="s">
        <v>1343</v>
      </c>
      <c r="FV28" s="350" t="s">
        <v>525</v>
      </c>
      <c r="FW28" s="350" t="s">
        <v>746</v>
      </c>
      <c r="FX28" s="350" t="s">
        <v>747</v>
      </c>
      <c r="FY28" s="349" t="s">
        <v>271</v>
      </c>
      <c r="FZ28" s="350" t="s">
        <v>270</v>
      </c>
      <c r="GA28" s="359" t="s">
        <v>427</v>
      </c>
      <c r="GB28" s="359" t="s">
        <v>1245</v>
      </c>
      <c r="GC28" s="359" t="s">
        <v>428</v>
      </c>
      <c r="GD28" s="359" t="s">
        <v>1246</v>
      </c>
      <c r="GE28" s="359" t="s">
        <v>1247</v>
      </c>
      <c r="GF28" s="359" t="s">
        <v>1289</v>
      </c>
      <c r="GG28" s="359" t="s">
        <v>1248</v>
      </c>
      <c r="GH28" s="359" t="s">
        <v>1202</v>
      </c>
      <c r="GI28" s="341" t="s">
        <v>1342</v>
      </c>
      <c r="GJ28" s="350" t="s">
        <v>788</v>
      </c>
      <c r="GK28" s="350" t="s">
        <v>524</v>
      </c>
      <c r="GL28" s="350" t="s">
        <v>744</v>
      </c>
      <c r="GM28" s="341" t="s">
        <v>1343</v>
      </c>
      <c r="GN28" s="350" t="s">
        <v>745</v>
      </c>
      <c r="GO28" s="350" t="s">
        <v>746</v>
      </c>
      <c r="GP28" s="350" t="s">
        <v>517</v>
      </c>
      <c r="GQ28" s="349" t="s">
        <v>748</v>
      </c>
      <c r="GR28" s="350" t="s">
        <v>749</v>
      </c>
      <c r="GS28" s="359" t="s">
        <v>321</v>
      </c>
      <c r="GT28" s="359" t="s">
        <v>324</v>
      </c>
      <c r="GU28" s="359" t="s">
        <v>322</v>
      </c>
      <c r="GV28" s="359" t="s">
        <v>1290</v>
      </c>
      <c r="GW28" s="359" t="s">
        <v>1291</v>
      </c>
      <c r="GX28" s="359" t="s">
        <v>319</v>
      </c>
      <c r="GY28" s="359" t="s">
        <v>326</v>
      </c>
      <c r="GZ28" s="359" t="s">
        <v>1249</v>
      </c>
      <c r="HA28" s="341" t="s">
        <v>1342</v>
      </c>
      <c r="HB28" s="350" t="s">
        <v>523</v>
      </c>
      <c r="HC28" s="350" t="s">
        <v>786</v>
      </c>
      <c r="HD28" s="350" t="s">
        <v>76</v>
      </c>
      <c r="HE28" s="341" t="s">
        <v>1343</v>
      </c>
      <c r="HF28" s="350" t="s">
        <v>525</v>
      </c>
      <c r="HG28" s="350" t="s">
        <v>526</v>
      </c>
      <c r="HH28" s="350" t="s">
        <v>517</v>
      </c>
      <c r="HI28" s="349" t="s">
        <v>748</v>
      </c>
      <c r="HJ28" s="350" t="s">
        <v>270</v>
      </c>
      <c r="HK28" s="359" t="s">
        <v>811</v>
      </c>
      <c r="HL28" s="359" t="s">
        <v>812</v>
      </c>
      <c r="HM28" s="359" t="s">
        <v>433</v>
      </c>
      <c r="HN28" s="359" t="s">
        <v>1250</v>
      </c>
      <c r="HO28" s="359" t="s">
        <v>1251</v>
      </c>
      <c r="HP28" s="359" t="s">
        <v>1252</v>
      </c>
      <c r="HQ28" s="359" t="s">
        <v>1224</v>
      </c>
      <c r="HR28" s="359" t="s">
        <v>1254</v>
      </c>
      <c r="HS28" s="341" t="s">
        <v>1342</v>
      </c>
      <c r="HT28" s="350" t="s">
        <v>523</v>
      </c>
      <c r="HU28" s="350" t="s">
        <v>524</v>
      </c>
      <c r="HV28" s="350" t="s">
        <v>457</v>
      </c>
      <c r="HW28" s="341" t="s">
        <v>1343</v>
      </c>
      <c r="HX28" s="350" t="s">
        <v>745</v>
      </c>
      <c r="HY28" s="350" t="s">
        <v>746</v>
      </c>
      <c r="HZ28" s="350" t="s">
        <v>517</v>
      </c>
      <c r="IA28" s="349" t="s">
        <v>748</v>
      </c>
      <c r="IB28" s="350" t="s">
        <v>270</v>
      </c>
      <c r="IC28" s="359" t="s">
        <v>318</v>
      </c>
      <c r="ID28" s="359" t="s">
        <v>1256</v>
      </c>
      <c r="IE28" s="359" t="s">
        <v>1257</v>
      </c>
      <c r="IF28" s="359" t="s">
        <v>1265</v>
      </c>
      <c r="IG28" s="359" t="s">
        <v>1274</v>
      </c>
      <c r="IH28" s="359" t="s">
        <v>1249</v>
      </c>
      <c r="II28" s="359" t="s">
        <v>1344</v>
      </c>
      <c r="IJ28" s="359" t="s">
        <v>1344</v>
      </c>
      <c r="IK28" s="341" t="s">
        <v>1342</v>
      </c>
      <c r="IL28" s="350" t="s">
        <v>766</v>
      </c>
      <c r="IM28" s="350" t="s">
        <v>743</v>
      </c>
      <c r="IN28" s="350" t="s">
        <v>76</v>
      </c>
      <c r="IO28" s="341" t="s">
        <v>1343</v>
      </c>
      <c r="IP28" s="350" t="s">
        <v>525</v>
      </c>
      <c r="IQ28" s="350" t="s">
        <v>526</v>
      </c>
      <c r="IR28" s="350" t="s">
        <v>747</v>
      </c>
      <c r="IS28" s="349" t="s">
        <v>271</v>
      </c>
      <c r="IT28" s="350" t="s">
        <v>752</v>
      </c>
      <c r="IU28" s="359" t="s">
        <v>434</v>
      </c>
      <c r="IV28" s="359" t="s">
        <v>328</v>
      </c>
      <c r="IW28" s="359" t="s">
        <v>327</v>
      </c>
      <c r="IX28" s="359" t="s">
        <v>335</v>
      </c>
      <c r="IY28" s="359" t="s">
        <v>1266</v>
      </c>
      <c r="IZ28" s="359" t="s">
        <v>1267</v>
      </c>
      <c r="JA28" s="359" t="s">
        <v>1253</v>
      </c>
      <c r="JB28" s="359" t="s">
        <v>1344</v>
      </c>
      <c r="JC28" s="341" t="s">
        <v>1342</v>
      </c>
      <c r="JD28" s="350" t="s">
        <v>523</v>
      </c>
      <c r="JE28" s="350" t="s">
        <v>743</v>
      </c>
      <c r="JF28" s="350" t="s">
        <v>767</v>
      </c>
      <c r="JG28" s="341" t="s">
        <v>1343</v>
      </c>
      <c r="JH28" s="350" t="s">
        <v>751</v>
      </c>
      <c r="JI28" s="350" t="s">
        <v>746</v>
      </c>
      <c r="JJ28" s="350" t="s">
        <v>747</v>
      </c>
      <c r="JK28" s="349" t="s">
        <v>271</v>
      </c>
      <c r="JL28" s="350" t="s">
        <v>749</v>
      </c>
      <c r="JM28" s="359" t="s">
        <v>1258</v>
      </c>
      <c r="JN28" s="359" t="s">
        <v>1259</v>
      </c>
      <c r="JO28" s="359" t="s">
        <v>1260</v>
      </c>
      <c r="JP28" s="359" t="s">
        <v>1261</v>
      </c>
      <c r="JQ28" s="359" t="s">
        <v>1262</v>
      </c>
      <c r="JR28" s="359" t="s">
        <v>1263</v>
      </c>
      <c r="JS28" s="359" t="s">
        <v>1264</v>
      </c>
      <c r="JT28" s="359" t="s">
        <v>1344</v>
      </c>
      <c r="JU28" s="341" t="s">
        <v>1342</v>
      </c>
      <c r="JV28" s="350" t="s">
        <v>756</v>
      </c>
      <c r="JW28" s="350" t="s">
        <v>743</v>
      </c>
      <c r="JX28" s="350" t="s">
        <v>767</v>
      </c>
      <c r="JY28" s="341" t="s">
        <v>1343</v>
      </c>
      <c r="JZ28" s="350" t="s">
        <v>751</v>
      </c>
      <c r="KA28" s="350" t="s">
        <v>746</v>
      </c>
      <c r="KB28" s="350" t="s">
        <v>747</v>
      </c>
      <c r="KC28" s="349" t="s">
        <v>748</v>
      </c>
      <c r="KD28" s="350" t="s">
        <v>270</v>
      </c>
      <c r="KE28" s="359" t="s">
        <v>1268</v>
      </c>
      <c r="KF28" s="359" t="s">
        <v>1269</v>
      </c>
      <c r="KG28" s="359" t="s">
        <v>1270</v>
      </c>
      <c r="KH28" s="359" t="s">
        <v>1271</v>
      </c>
      <c r="KI28" s="359" t="s">
        <v>1272</v>
      </c>
      <c r="KJ28" s="359" t="s">
        <v>1239</v>
      </c>
      <c r="KK28" s="359" t="s">
        <v>1240</v>
      </c>
      <c r="KL28" s="359" t="s">
        <v>1344</v>
      </c>
      <c r="KM28" s="341" t="s">
        <v>1342</v>
      </c>
      <c r="KN28" s="350" t="s">
        <v>523</v>
      </c>
      <c r="KO28" s="350" t="s">
        <v>743</v>
      </c>
      <c r="KP28" s="350" t="s">
        <v>76</v>
      </c>
      <c r="KQ28" s="341" t="s">
        <v>1343</v>
      </c>
      <c r="KR28" s="350" t="s">
        <v>525</v>
      </c>
      <c r="KS28" s="350" t="s">
        <v>746</v>
      </c>
      <c r="KT28" s="350" t="s">
        <v>517</v>
      </c>
      <c r="KU28" s="349" t="s">
        <v>762</v>
      </c>
      <c r="KV28" s="350" t="s">
        <v>270</v>
      </c>
      <c r="KW28" s="359" t="s">
        <v>1275</v>
      </c>
      <c r="KX28" s="359" t="s">
        <v>1276</v>
      </c>
      <c r="KY28" s="359" t="s">
        <v>1277</v>
      </c>
      <c r="KZ28" s="359" t="s">
        <v>1278</v>
      </c>
      <c r="LA28" s="359" t="s">
        <v>1279</v>
      </c>
      <c r="LB28" s="359" t="s">
        <v>1280</v>
      </c>
      <c r="LC28" s="359" t="s">
        <v>1281</v>
      </c>
      <c r="LD28" s="359" t="s">
        <v>1282</v>
      </c>
      <c r="LE28" s="341" t="s">
        <v>1342</v>
      </c>
      <c r="LF28" s="350" t="s">
        <v>756</v>
      </c>
      <c r="LG28" s="350" t="s">
        <v>524</v>
      </c>
      <c r="LH28" s="350" t="s">
        <v>76</v>
      </c>
      <c r="LI28" s="341" t="s">
        <v>1343</v>
      </c>
      <c r="LJ28" s="350" t="s">
        <v>525</v>
      </c>
      <c r="LK28" s="350" t="s">
        <v>526</v>
      </c>
      <c r="LL28" s="350" t="s">
        <v>517</v>
      </c>
      <c r="LM28" s="349" t="s">
        <v>271</v>
      </c>
      <c r="LN28" s="350" t="s">
        <v>749</v>
      </c>
      <c r="LO28" s="359" t="s">
        <v>1283</v>
      </c>
      <c r="LP28" s="359" t="s">
        <v>1284</v>
      </c>
      <c r="LQ28" s="359" t="s">
        <v>1285</v>
      </c>
      <c r="LR28" s="359" t="s">
        <v>1286</v>
      </c>
      <c r="LS28" s="359" t="s">
        <v>1287</v>
      </c>
      <c r="LT28" s="359" t="s">
        <v>1288</v>
      </c>
      <c r="LU28" s="359" t="s">
        <v>1344</v>
      </c>
      <c r="LV28" s="359" t="s">
        <v>1344</v>
      </c>
      <c r="MD28" s="288" t="s">
        <v>813</v>
      </c>
      <c r="NA28" s="159"/>
      <c r="NB28" s="159"/>
      <c r="NC28" s="207" t="str">
        <f t="shared" ref="NC28:NN28" si="3">INDEX(Label_Statistics,1+COLUMN(NC$28)-COLUMN($NC$28),data_Lang_LangValue+1)</f>
        <v>Execution time (s)</v>
      </c>
      <c r="ND28" s="207" t="str">
        <f t="shared" si="3"/>
        <v>GFLOPS</v>
      </c>
      <c r="NE28" s="207" t="str">
        <f t="shared" si="3"/>
        <v>Floating-point operation peak ratio (%)</v>
      </c>
      <c r="NF28" s="207" t="str">
        <f t="shared" si="3"/>
        <v>Memory throughput (GB/s)</v>
      </c>
      <c r="NG28" s="207" t="str">
        <f t="shared" si="3"/>
        <v>Memory throughput peak ratio (%)</v>
      </c>
      <c r="NH28" s="207" t="str">
        <f t="shared" si="3"/>
        <v>Effective instruction</v>
      </c>
      <c r="NI28" s="207" t="str">
        <f t="shared" si="3"/>
        <v>Floating-point operation</v>
      </c>
      <c r="NJ28" s="207" t="str">
        <f t="shared" si="3"/>
        <v>SIMD instruction rate (%) (/Effective instruction)</v>
      </c>
      <c r="NK28" s="207" t="str">
        <f t="shared" si="3"/>
        <v>SVE operation rate (%)</v>
      </c>
      <c r="NL28" s="207" t="str">
        <f t="shared" si="3"/>
        <v>Floating-point pipeline Active element rate (%)</v>
      </c>
      <c r="NM28" s="207" t="str">
        <f t="shared" si="3"/>
        <v>IPC</v>
      </c>
      <c r="NN28" s="207" t="str">
        <f t="shared" si="3"/>
        <v>GIPS</v>
      </c>
      <c r="NO28" s="208" t="str">
        <f>IF($NQ$25="Lv2",INDEX(Label_CycleAccounting_Above,1,data_Lang_LangValue+1),
                                  INDEX(Label_CycleAccounting,1+COLUMN(NO$28)-COLUMN($NO$28),data_Lang_LangValue+1) )</f>
        <v>Prefetch port busy wait by hardware prefetch</v>
      </c>
      <c r="NP28" s="208" t="str">
        <f t="shared" ref="NP28:NT28" si="4">INDEX(Label_CycleAccounting,1+COLUMN(NP$28)-COLUMN($NO$28),data_Lang_LangValue+1)</f>
        <v>Prefetch port busy wait by software prefetch</v>
      </c>
      <c r="NQ28" s="209" t="str">
        <f t="shared" si="4"/>
        <v>Integer load memory access wait</v>
      </c>
      <c r="NR28" s="209" t="str">
        <f t="shared" si="4"/>
        <v>Floating-point load memory access wait</v>
      </c>
      <c r="NS28" s="209" t="str">
        <f t="shared" si="4"/>
        <v>Integer load L2 cache access wait</v>
      </c>
      <c r="NT28" s="209" t="str">
        <f t="shared" si="4"/>
        <v>Integer load L1D cache access wait</v>
      </c>
      <c r="NU28" s="209" t="str">
        <f>IF($NQ$25="Lv2",INDEX(Label_CycleAccounting_Above,2,data_Lang_LangValue+1),
                 INDEX(Label_CycleAccounting,1+COLUMN(NU$28)-COLUMN($NO$28),data_Lang_LangValue+1))</f>
        <v>Floating-point load L2 cache access wait</v>
      </c>
      <c r="NV28" s="209" t="str">
        <f t="shared" ref="NV28:OG28" si="5">INDEX(Label_CycleAccounting,1+COLUMN(NV$28)-COLUMN($NO$28),data_Lang_LangValue+1)</f>
        <v>Floating-point load L1D cache access wait (*)</v>
      </c>
      <c r="NW28" s="209" t="str">
        <f t="shared" si="5"/>
        <v>Integer operation wait</v>
      </c>
      <c r="NX28" s="209" t="str">
        <f>IF($NQ$25="Lv2",INDEX(Label_CycleAccounting_Above,3,data_Lang_LangValue+1),
                                  INDEX(Label_CycleAccounting,1+COLUMN(NX$28)-COLUMN($NO$28),data_Lang_LangValue+1))</f>
        <v>Floating-point operation wait</v>
      </c>
      <c r="NY28" s="209" t="str">
        <f t="shared" si="5"/>
        <v>Branch instruction wait</v>
      </c>
      <c r="NZ28" s="209" t="str">
        <f>IF($NQ$25="Lv2",INDEX(Label_CycleAccounting_Above,4,data_Lang_LangValue+1),
  INDEX(Label_CycleAccounting,1+COLUMN(NZ$28)-COLUMN($NO$28),data_Lang_LangValue+1))</f>
        <v>Other wait</v>
      </c>
      <c r="OA28" s="209" t="str">
        <f t="shared" si="5"/>
        <v>Store port busy wait</v>
      </c>
      <c r="OB28" s="209" t="str">
        <f t="shared" si="5"/>
        <v>Instruction fetch wait</v>
      </c>
      <c r="OC28" s="209" t="str">
        <f t="shared" si="5"/>
        <v>Barrier synchronization wait</v>
      </c>
      <c r="OD28" s="209" t="str">
        <f t="shared" si="5"/>
        <v>1 instruction commit</v>
      </c>
      <c r="OE28" s="209" t="str">
        <f t="shared" si="5"/>
        <v>2 instruction commit</v>
      </c>
      <c r="OF28" s="209" t="str">
        <f t="shared" si="5"/>
        <v>3 instruction commit</v>
      </c>
      <c r="OG28" s="209" t="str">
        <f t="shared" si="5"/>
        <v>4 instruction commit</v>
      </c>
      <c r="OH28" s="210" t="str">
        <f>IF($NQ$25="Lv2",INDEX(Label_CycleAccounting_Above,9,data_Lang_LangValue+1),
  INDEX(Label_CycleAccounting,1+COLUMN(OH$28)-COLUMN($NO$28),data_Lang_LangValue+1))</f>
        <v>Other instruction commit</v>
      </c>
      <c r="OI28" s="211" t="str">
        <f>INDEX(Label_CycleAccounting,1+COLUMN(OI$28)-COLUMN($NO$28),data_Lang_LangValue+1)</f>
        <v>Total</v>
      </c>
      <c r="OJ28" s="212" t="str">
        <f t="shared" ref="OJ28:OW28" si="6">INDEX(Label_Busy,1+COLUMN(OJ$48)-COLUMN($OJ$48),data_Lang_LangValue+1)</f>
        <v>Floating-point operation pipeline A busy rate (%)</v>
      </c>
      <c r="OK28" s="212" t="str">
        <f t="shared" si="6"/>
        <v>Floating-point operation pipeline B busy rate (%)</v>
      </c>
      <c r="OL28" s="212" t="str">
        <f t="shared" si="6"/>
        <v>Integer operation pipeline A busy rate (%)</v>
      </c>
      <c r="OM28" s="212" t="str">
        <f t="shared" si="6"/>
        <v>Integer operation pipeline B busy rate (%)</v>
      </c>
      <c r="ON28" s="212" t="str">
        <f t="shared" si="6"/>
        <v>L1 busy rate (%)</v>
      </c>
      <c r="OO28" s="212" t="str">
        <f t="shared" si="6"/>
        <v>L2 busy rate (%)</v>
      </c>
      <c r="OP28" s="212" t="str">
        <f t="shared" si="6"/>
        <v>Memory busy rate (%)</v>
      </c>
      <c r="OQ28" s="212" t="str">
        <f t="shared" si="6"/>
        <v>Address calculation operation pipeline A busy rate (%)</v>
      </c>
      <c r="OR28" s="212" t="str">
        <f t="shared" si="6"/>
        <v>Address calculation operation pipeline B busy rate (%)</v>
      </c>
      <c r="OS28" s="212" t="str">
        <f t="shared" si="6"/>
        <v>Floating-point pipeline A Active element rate (%)</v>
      </c>
      <c r="OT28" s="212" t="str">
        <f t="shared" si="6"/>
        <v>Floating-point pipeline B Active element rate (%)</v>
      </c>
      <c r="OU28" s="212" t="str">
        <f t="shared" si="6"/>
        <v>L1 pipeline 0 Active element rate (%)</v>
      </c>
      <c r="OV28" s="212" t="str">
        <f t="shared" si="6"/>
        <v>L1 pipeline 1 Active element rate (%)</v>
      </c>
      <c r="OW28" s="212" t="str">
        <f t="shared" si="6"/>
        <v>SFI(Store Fetch Interlock) rate</v>
      </c>
      <c r="OX28" s="213" t="str">
        <f t="shared" ref="OX28:PK28" si="7">INDEX(Label_Cache,1+COLUMN(OX$28)-COLUMN($OX$28),data_Lang_LangValue+1)</f>
        <v>L1I miss rate (/Effective instruction)</v>
      </c>
      <c r="OY28" s="213" t="str">
        <f t="shared" si="7"/>
        <v>Load-store instruction</v>
      </c>
      <c r="OZ28" s="213" t="str">
        <f t="shared" si="7"/>
        <v>L1D miss</v>
      </c>
      <c r="PA28" s="213" t="str">
        <f>INDEX(Label_Cache,1+COLUMN(PA$28)-COLUMN($OX$28),data_Lang_LangValue+1)</f>
        <v>L1D miss rate (/Load-store instruction)</v>
      </c>
      <c r="PB28" s="213" t="str">
        <f t="shared" si="7"/>
        <v>L1D miss demand rate (%) (/L1D miss)</v>
      </c>
      <c r="PC28" s="213" t="str">
        <f t="shared" si="7"/>
        <v>L1D miss hardware prefetch rate (%) (/L1D miss)</v>
      </c>
      <c r="PD28" s="213" t="str">
        <f t="shared" si="7"/>
        <v>L1D miss software prefetch rate (%) (/L1D miss)</v>
      </c>
      <c r="PE28" s="213" t="str">
        <f>INDEX(Label_Cache,1+COLUMN(PE$28)-COLUMN($OX$28),data_Lang_LangValue+1)</f>
        <v>L2 miss</v>
      </c>
      <c r="PF28" s="213" t="str">
        <f t="shared" si="7"/>
        <v>L2 miss rate (/Load-store instruction)</v>
      </c>
      <c r="PG28" s="213" t="str">
        <f t="shared" si="7"/>
        <v>L2 miss demand rate (%) (/L2 miss)</v>
      </c>
      <c r="PH28" s="213" t="str">
        <f t="shared" si="7"/>
        <v>L2 miss hardware prefetch rate (%) (/L2 miss)</v>
      </c>
      <c r="PI28" s="213" t="str">
        <f t="shared" si="7"/>
        <v>L2 miss software prefetch rate (%) (/L2 miss)</v>
      </c>
      <c r="PJ28" s="213" t="str">
        <f t="shared" si="7"/>
        <v>L1D TLB miss rate (/Load-store instruction)</v>
      </c>
      <c r="PK28" s="213" t="str">
        <f t="shared" si="7"/>
        <v>L2D TLB miss rate (/Load-store instruction)</v>
      </c>
      <c r="PL28" s="214" t="str">
        <f>IF($PM$25="Lv2",INDEX(Label_Instruction,30,data_Lang_LangValue+1),
                                  INDEX(Label_Instruction,1+COLUMN(PL$28)-COLUMN($PL$28),data_Lang_LangValue+1))</f>
        <v>Single vector contiguous load instruction</v>
      </c>
      <c r="PM28" s="215" t="str">
        <f>INDEX(Label_Instruction,1+COLUMN(PM$28)-COLUMN($PL$28),data_Lang_LangValue+1)</f>
        <v>Multiple vector contiguous structure load instruction</v>
      </c>
      <c r="PN28" s="215" t="str">
        <f>INDEX(Label_Instruction,1+COLUMN(PN$28)-COLUMN($PL$28),data_Lang_LangValue+1)</f>
        <v>Non-contiguous gather load instruction</v>
      </c>
      <c r="PO28" s="215" t="str">
        <f>INDEX(Label_Instruction,1+COLUMN(PO$28)-COLUMN($PL$28),data_Lang_LangValue+1)</f>
        <v>Broadcast load instruction</v>
      </c>
      <c r="PP28" s="567" t="str">
        <f>IF($PM$25="Lv3",INDEX(Label_Instruction,32,data_Lang_LangValue+1),
  INDEX(Label_Instruction,1+COLUMN(PP$28)-COLUMN($PL$28),data_Lang_LangValue+1))</f>
        <v>Floating-point register fill instruction</v>
      </c>
      <c r="PQ28" s="567" t="str">
        <f t="shared" ref="PQ28:QN28" si="8">INDEX(Label_Instruction,1+COLUMN(PQ$28)-COLUMN($PL$28),data_Lang_LangValue+1)</f>
        <v>Predicate register fill instruction</v>
      </c>
      <c r="PR28" s="567" t="str">
        <f t="shared" si="8"/>
        <v>First-fault load instruction</v>
      </c>
      <c r="PS28" s="216" t="str">
        <f t="shared" si="8"/>
        <v>Non-SIMD load instruction</v>
      </c>
      <c r="PT28" s="216" t="str">
        <f>IF($PM$25="Lv2",INDEX(Label_Instruction,31,data_Lang_LangValue+1),
  INDEX(Label_Instruction,1+COLUMN(PT$28)-COLUMN($PL$28),data_Lang_LangValue+1))</f>
        <v>Single vector contiguous store instruction</v>
      </c>
      <c r="PU28" s="216" t="str">
        <f t="shared" si="8"/>
        <v>Multiple vector contiguous structure store instruction</v>
      </c>
      <c r="PV28" s="216" t="str">
        <f t="shared" si="8"/>
        <v>Non-contiguous scatter store instruction</v>
      </c>
      <c r="PW28" s="567" t="str">
        <f>IF($PM$25="Lv3",INDEX(Label_Instruction,33,data_Lang_LangValue+1),
   INDEX(Label_Instruction,1+COLUMN(PW$28)-COLUMN($PL$28),data_Lang_LangValue+1))</f>
        <v>Floating-point register spill instruction</v>
      </c>
      <c r="PX28" s="567" t="str">
        <f t="shared" si="8"/>
        <v>Predicate register spill instruction</v>
      </c>
      <c r="PY28" s="565" t="str">
        <f t="shared" si="8"/>
        <v>Non-SIMD store instruction</v>
      </c>
      <c r="PZ28" s="565" t="str">
        <f t="shared" si="8"/>
        <v>Contiguous prefetch instruction</v>
      </c>
      <c r="QA28" s="565" t="str">
        <f t="shared" si="8"/>
        <v>Gathering prefetch instruction</v>
      </c>
      <c r="QB28" s="565" t="str">
        <f t="shared" si="8"/>
        <v>Scalar prefetch instruction</v>
      </c>
      <c r="QC28" s="565" t="str">
        <f t="shared" si="8"/>
        <v>DCZVA instruction</v>
      </c>
      <c r="QD28" s="565" t="str">
        <f t="shared" si="8"/>
        <v>Floating-point instruction except FMA and reciprocal</v>
      </c>
      <c r="QE28" s="565" t="str">
        <f t="shared" si="8"/>
        <v>FMA instruction</v>
      </c>
      <c r="QF28" s="565" t="str">
        <f t="shared" si="8"/>
        <v>Floating-point reciprocal instruction</v>
      </c>
      <c r="QG28" s="565" t="str">
        <f t="shared" si="8"/>
        <v>Floating-point conversion instruction</v>
      </c>
      <c r="QH28" s="565" t="str">
        <f t="shared" si="8"/>
        <v>Floating-point move instruction</v>
      </c>
      <c r="QI28" s="565" t="str">
        <f t="shared" si="8"/>
        <v>Integer instruction</v>
      </c>
      <c r="QJ28" s="565" t="str">
        <f t="shared" si="8"/>
        <v>Branch instruction</v>
      </c>
      <c r="QK28" s="565" t="str">
        <f t="shared" si="8"/>
        <v>Predicate instruction</v>
      </c>
      <c r="QL28" s="565" t="str">
        <f t="shared" si="8"/>
        <v>Crypto-graphic instruction</v>
      </c>
      <c r="QM28" s="565" t="str">
        <f t="shared" si="8"/>
        <v>Other instruction</v>
      </c>
      <c r="QN28" s="565" t="str">
        <f t="shared" si="8"/>
        <v>Total</v>
      </c>
      <c r="QO28" s="212" t="str">
        <f t="shared" ref="QO28:QR28" si="9">INDEX(Label_Flops,1+COLUMN(QO$28)-COLUMN($QO$28),data_Lang_LangValue+1)</f>
        <v>Double precision floating-point operation</v>
      </c>
      <c r="QP28" s="212" t="str">
        <f t="shared" si="9"/>
        <v>Single precision floating-point operation</v>
      </c>
      <c r="QQ28" s="212" t="str">
        <f t="shared" si="9"/>
        <v>Half precision floating-point operation</v>
      </c>
      <c r="QR28" s="212" t="str">
        <f t="shared" si="9"/>
        <v>GFLOPS by Active element rate</v>
      </c>
      <c r="QS28" s="213" t="str">
        <f t="shared" ref="QS28:RB28" si="10">INDEX(Label_Extra,1+COLUMN(QS$28)-COLUMN($QS$46),data_Lang_LangValue+1)</f>
        <v>0 flow rate (%)</v>
      </c>
      <c r="QT28" s="213" t="str">
        <f t="shared" si="10"/>
        <v>1 flow rate (%)</v>
      </c>
      <c r="QU28" s="213" t="str">
        <f t="shared" si="10"/>
        <v>2 flows rate (%)</v>
      </c>
      <c r="QV28" s="213" t="str">
        <f t="shared" si="10"/>
        <v>Micro-operation instruction</v>
      </c>
      <c r="QW28" s="213" t="str">
        <f t="shared" si="10"/>
        <v>Element manipulated instruction</v>
      </c>
      <c r="QX28" s="213" t="str">
        <f t="shared" si="10"/>
        <v>Register manipulated instruction</v>
      </c>
      <c r="QY28" s="213" t="str">
        <f t="shared" si="10"/>
        <v>MOVPRFX instruction</v>
      </c>
      <c r="QZ28" s="213" t="str">
        <f t="shared" si="10"/>
        <v>Math functional instruction</v>
      </c>
      <c r="RA28" s="213" t="str">
        <f t="shared" si="10"/>
        <v>Micro decomposition instruction rate (%)</v>
      </c>
      <c r="RB28" s="213" t="str">
        <f t="shared" si="10"/>
        <v>Branch prediction miss rate (%)</v>
      </c>
      <c r="RC28" s="213" t="str">
        <f>INDEX(Label_HardwarePrefetch,1+COLUMN(RC$28)-COLUMN($RC$28),data_Lang_LangValue+1)</f>
        <v>Stream mode prefetch rate</v>
      </c>
      <c r="RD28" s="213" t="str">
        <f t="shared" ref="RD28:RI28" si="11">INDEX(Label_HardwarePrefetch,1+COLUMN(RD$28)-COLUMN($RC$28),data_Lang_LangValue+1)</f>
        <v>Injection mode allocate prefetch rate</v>
      </c>
      <c r="RE28" s="213" t="str">
        <f t="shared" si="11"/>
        <v>Injection mode unallocate prefetch rate</v>
      </c>
      <c r="RF28" s="213" t="str">
        <f t="shared" si="11"/>
        <v>Stream mode prefetch rate</v>
      </c>
      <c r="RG28" s="213" t="str">
        <f t="shared" si="11"/>
        <v>Injection mode allocate prefetch rate</v>
      </c>
      <c r="RH28" s="213" t="str">
        <f t="shared" si="11"/>
        <v>Injection mode unallocate prefetch rate</v>
      </c>
      <c r="RI28" s="213" t="str">
        <f t="shared" si="11"/>
        <v>Other hardware prefetch</v>
      </c>
      <c r="RJ28" s="217"/>
      <c r="RK28" s="218" t="str">
        <f t="shared" ref="RK28:RQ28" si="12">INDEX(Label_CMG_READ,1+COLUMN(RK$28)-COLUMN($RK$28),data_Lang_LangValue+1)</f>
        <v>CMG0</v>
      </c>
      <c r="RL28" s="218" t="str">
        <f t="shared" si="12"/>
        <v>CMG1</v>
      </c>
      <c r="RM28" s="218" t="str">
        <f t="shared" si="12"/>
        <v>CMG2</v>
      </c>
      <c r="RN28" s="218" t="str">
        <f t="shared" si="12"/>
        <v>CMG3</v>
      </c>
      <c r="RO28" s="218" t="str">
        <f t="shared" si="12"/>
        <v>Memory</v>
      </c>
      <c r="RP28" s="218" t="str">
        <f t="shared" si="12"/>
        <v>Tofu</v>
      </c>
      <c r="RQ28" s="218" t="str">
        <f t="shared" si="12"/>
        <v>PCI</v>
      </c>
      <c r="RR28" s="213" t="str">
        <f>INDEX(Label_PowerConsumption,1+COLUMN(RR$28)-COLUMN($RR$28),data_Lang_LangValue+1)</f>
        <v>Power consumption used by core</v>
      </c>
      <c r="RS28" s="213" t="str">
        <f>INDEX(Label_PowerConsumption,1+COLUMN(RS$28)-COLUMN($RR$28),data_Lang_LangValue+1)</f>
        <v>Power consumption used by L2 cache</v>
      </c>
      <c r="RT28" s="213" t="str">
        <f>INDEX(Label_PowerConsumption,1+COLUMN(RT$28)-COLUMN($RR$28),data_Lang_LangValue+1)</f>
        <v>Power consumption used by memory</v>
      </c>
      <c r="RU28" s="219" t="str">
        <f t="shared" ref="RU28:SL28" si="13">INDEX(Label_Time_Short,1+COLUMN(RU$27)-COLUMN($RU$27),data_Lang_LangValue+1)</f>
        <v>-</v>
      </c>
      <c r="RV28" s="219" t="str">
        <f t="shared" si="13"/>
        <v>pa1</v>
      </c>
      <c r="RW28" s="219" t="str">
        <f t="shared" si="13"/>
        <v>pa2</v>
      </c>
      <c r="RX28" s="219" t="str">
        <f t="shared" si="13"/>
        <v>pa3</v>
      </c>
      <c r="RY28" s="219" t="str">
        <f t="shared" si="13"/>
        <v>pa4</v>
      </c>
      <c r="RZ28" s="219" t="str">
        <f t="shared" si="13"/>
        <v>pa5</v>
      </c>
      <c r="SA28" s="219" t="str">
        <f t="shared" si="13"/>
        <v>pa6</v>
      </c>
      <c r="SB28" s="219" t="str">
        <f t="shared" si="13"/>
        <v>pa7</v>
      </c>
      <c r="SC28" s="219" t="str">
        <f t="shared" si="13"/>
        <v>pa8</v>
      </c>
      <c r="SD28" s="219" t="str">
        <f t="shared" si="13"/>
        <v>pa9</v>
      </c>
      <c r="SE28" s="219" t="str">
        <f t="shared" si="13"/>
        <v>pa10</v>
      </c>
      <c r="SF28" s="219" t="str">
        <f t="shared" si="13"/>
        <v>pa11</v>
      </c>
      <c r="SG28" s="219" t="str">
        <f t="shared" si="13"/>
        <v>pa12</v>
      </c>
      <c r="SH28" s="219" t="str">
        <f t="shared" si="13"/>
        <v>pa13</v>
      </c>
      <c r="SI28" s="219" t="str">
        <f t="shared" si="13"/>
        <v>pa14</v>
      </c>
      <c r="SJ28" s="219" t="str">
        <f t="shared" si="13"/>
        <v>pa15</v>
      </c>
      <c r="SK28" s="219" t="str">
        <f t="shared" si="13"/>
        <v>pa16</v>
      </c>
      <c r="SL28" s="219" t="str">
        <f t="shared" si="13"/>
        <v>pa17</v>
      </c>
      <c r="SM28" s="213" t="str">
        <f>INDEX(Label_MeanTime,1+COLUMN(SM$28)-COLUMN($SM$28),data_Lang_LangValue+1)</f>
        <v>Count</v>
      </c>
      <c r="SN28" s="213" t="str">
        <f>INDEX(Label_MeanTime,1+COLUMN(SN$28)-COLUMN($SM$28),data_Lang_LangValue+1)</f>
        <v>Mean time (s)</v>
      </c>
      <c r="SO28" s="213" t="str">
        <f>INDEX(Label_Balance,1+COLUMN(SO$28)-COLUMN($SO$28),data_Lang_LangValue+1)</f>
        <v>Load balance</v>
      </c>
      <c r="SP28" s="213" t="str">
        <f>INDEX(Label_Balance,1+COLUMN(SP$28)-COLUMN($SO$28),data_Lang_LangValue+1)</f>
        <v>Instruction balance</v>
      </c>
      <c r="SQ28" s="220" t="s">
        <v>1101</v>
      </c>
      <c r="SR28" s="221" t="s">
        <v>1047</v>
      </c>
      <c r="SS28" s="221" t="s">
        <v>1048</v>
      </c>
      <c r="ST28" s="221" t="s">
        <v>1049</v>
      </c>
      <c r="SU28" s="221" t="s">
        <v>1050</v>
      </c>
      <c r="SV28" s="221" t="s">
        <v>1051</v>
      </c>
      <c r="SW28" s="221" t="s">
        <v>1052</v>
      </c>
      <c r="SX28" s="221" t="s">
        <v>1053</v>
      </c>
      <c r="SY28" s="221" t="s">
        <v>1054</v>
      </c>
      <c r="SZ28" s="221" t="s">
        <v>902</v>
      </c>
      <c r="TA28" s="221" t="s">
        <v>903</v>
      </c>
      <c r="TB28" s="221" t="s">
        <v>904</v>
      </c>
      <c r="TC28" s="221" t="s">
        <v>905</v>
      </c>
      <c r="TD28" s="221" t="s">
        <v>906</v>
      </c>
      <c r="TE28" s="221" t="s">
        <v>907</v>
      </c>
      <c r="TF28" s="221" t="s">
        <v>908</v>
      </c>
      <c r="TG28" s="221" t="s">
        <v>909</v>
      </c>
      <c r="TK28" s="352"/>
      <c r="TL28" s="404" t="s">
        <v>1438</v>
      </c>
      <c r="TM28" s="404" t="s">
        <v>1439</v>
      </c>
      <c r="TN28" s="404" t="s">
        <v>1702</v>
      </c>
      <c r="TQ28" s="353"/>
      <c r="TR28" s="354" t="s">
        <v>1754</v>
      </c>
      <c r="TS28" s="354" t="s">
        <v>1755</v>
      </c>
      <c r="TT28" s="354" t="s">
        <v>1756</v>
      </c>
      <c r="TU28" s="354" t="s">
        <v>1753</v>
      </c>
      <c r="TV28" s="354" t="s">
        <v>1752</v>
      </c>
      <c r="UC28" s="347"/>
      <c r="UD28" s="354" t="s">
        <v>1754</v>
      </c>
      <c r="UE28" s="354" t="s">
        <v>1755</v>
      </c>
      <c r="UF28" s="354" t="s">
        <v>1756</v>
      </c>
      <c r="UG28" s="354" t="s">
        <v>1753</v>
      </c>
      <c r="UH28" s="354" t="s">
        <v>1752</v>
      </c>
      <c r="VA28" s="355"/>
      <c r="VB28" s="356" t="s">
        <v>1424</v>
      </c>
      <c r="VC28" s="356" t="s">
        <v>1425</v>
      </c>
      <c r="VD28" s="356" t="s">
        <v>809</v>
      </c>
      <c r="VE28" s="356" t="s">
        <v>810</v>
      </c>
      <c r="VF28" s="356" t="s">
        <v>1450</v>
      </c>
      <c r="VH28" s="378"/>
      <c r="VI28" s="355"/>
      <c r="VJ28" s="356" t="s">
        <v>1426</v>
      </c>
      <c r="VK28" s="356" t="s">
        <v>1427</v>
      </c>
      <c r="VL28" s="378"/>
      <c r="VM28" s="347"/>
      <c r="VN28" s="593" t="s">
        <v>1936</v>
      </c>
      <c r="VO28" s="594" t="s">
        <v>1937</v>
      </c>
      <c r="VQ28" s="347"/>
      <c r="VR28" s="593" t="s">
        <v>1933</v>
      </c>
      <c r="VS28" s="593" t="s">
        <v>1934</v>
      </c>
      <c r="VT28" s="593" t="s">
        <v>1935</v>
      </c>
      <c r="VV28" s="568"/>
      <c r="VW28" s="568" t="s">
        <v>1296</v>
      </c>
      <c r="VX28" s="569" t="s">
        <v>808</v>
      </c>
      <c r="VY28" s="568" t="s">
        <v>1433</v>
      </c>
      <c r="WC28" s="335" t="s">
        <v>814</v>
      </c>
    </row>
    <row r="29" spans="2:617" ht="17.25" thickBot="1" x14ac:dyDescent="0.3">
      <c r="AB29" s="341" t="s">
        <v>1467</v>
      </c>
      <c r="AC29" s="267"/>
      <c r="AD29" s="267"/>
      <c r="AE29" s="267"/>
      <c r="AF29" s="267"/>
      <c r="AG29" s="267"/>
      <c r="AH29" s="267"/>
      <c r="AI29" s="267"/>
      <c r="AJ29" s="267"/>
      <c r="AK29" s="267"/>
      <c r="AL29" s="267"/>
      <c r="AM29" s="267"/>
      <c r="AN29" s="267"/>
      <c r="AO29" s="267"/>
      <c r="AP29" s="267"/>
      <c r="AQ29" s="268"/>
      <c r="AR29" s="268"/>
      <c r="AS29" s="267"/>
      <c r="AT29" s="267"/>
      <c r="AU29" s="267"/>
      <c r="AV29" s="267"/>
      <c r="AW29" s="267"/>
      <c r="AX29" s="267"/>
      <c r="AY29" s="267"/>
      <c r="AZ29" s="267"/>
      <c r="BA29" s="267"/>
      <c r="BB29" s="267"/>
      <c r="BC29" s="267"/>
      <c r="BD29" s="267"/>
      <c r="BE29" s="267"/>
      <c r="BF29" s="267"/>
      <c r="BG29" s="267"/>
      <c r="BH29" s="267"/>
      <c r="BI29" s="267"/>
      <c r="BJ29" s="267"/>
      <c r="BK29" s="267"/>
      <c r="BL29" s="267"/>
      <c r="BM29" s="267"/>
      <c r="BN29" s="267"/>
      <c r="BO29" s="267"/>
      <c r="BP29" s="267"/>
      <c r="BQ29" s="267"/>
      <c r="BR29" s="267"/>
      <c r="BS29" s="267"/>
      <c r="BT29" s="267"/>
      <c r="BU29" s="267"/>
      <c r="BV29" s="267"/>
      <c r="BW29" s="267"/>
      <c r="BX29" s="267"/>
      <c r="BY29" s="267"/>
      <c r="BZ29" s="267"/>
      <c r="CA29" s="267"/>
      <c r="CB29" s="267"/>
      <c r="CC29" s="267"/>
      <c r="CD29" s="267"/>
      <c r="CE29" s="267"/>
      <c r="CF29" s="267"/>
      <c r="CG29" s="267"/>
      <c r="CH29" s="267"/>
      <c r="CI29" s="267"/>
      <c r="CJ29" s="267"/>
      <c r="CK29" s="267"/>
      <c r="CL29" s="267"/>
      <c r="CM29" s="267"/>
      <c r="CN29" s="267"/>
      <c r="CO29" s="268"/>
      <c r="CP29" s="267"/>
      <c r="CQ29" s="267"/>
      <c r="CR29" s="267"/>
      <c r="CS29" s="267"/>
      <c r="CT29" s="267"/>
      <c r="CU29" s="267"/>
      <c r="CV29" s="268"/>
      <c r="CW29" s="267"/>
      <c r="CX29" s="267"/>
      <c r="CY29" s="267"/>
      <c r="CZ29" s="267"/>
      <c r="DA29" s="267"/>
      <c r="DB29" s="267"/>
      <c r="DC29" s="267"/>
      <c r="DD29" s="267"/>
      <c r="DE29" s="267"/>
      <c r="DF29" s="267"/>
      <c r="DG29" s="267"/>
      <c r="DH29" s="267"/>
      <c r="DI29" s="267"/>
      <c r="DJ29" s="267"/>
      <c r="DK29" s="267"/>
      <c r="DL29" s="267"/>
      <c r="DM29" s="267"/>
      <c r="DN29" s="267"/>
      <c r="DO29" s="267"/>
      <c r="DP29" s="268"/>
      <c r="DQ29" s="268"/>
      <c r="DR29" s="268"/>
      <c r="DS29" s="268"/>
      <c r="DT29" s="268"/>
      <c r="DU29" s="268"/>
      <c r="DV29" s="268"/>
      <c r="DW29" s="268"/>
      <c r="DX29" s="268"/>
      <c r="DY29" s="268"/>
      <c r="DZ29" s="268"/>
      <c r="EA29" s="268"/>
      <c r="EB29" s="268"/>
      <c r="EC29" s="268"/>
      <c r="ED29" s="268"/>
      <c r="EE29" s="268"/>
      <c r="EF29" s="268"/>
      <c r="EG29" s="267"/>
      <c r="EH29" s="268"/>
      <c r="EI29" s="268"/>
      <c r="EJ29" s="268"/>
      <c r="EK29" s="268"/>
      <c r="EL29" s="268"/>
      <c r="EM29" s="268"/>
      <c r="EN29" s="268"/>
      <c r="EO29" s="268"/>
      <c r="EP29" s="268"/>
      <c r="EQ29" s="268"/>
      <c r="ER29" s="268"/>
      <c r="ES29" s="268"/>
      <c r="ET29" s="268"/>
      <c r="EU29" s="268"/>
      <c r="EV29" s="268"/>
      <c r="EW29" s="268"/>
      <c r="EX29" s="268"/>
      <c r="EY29" s="267"/>
      <c r="EZ29" s="268"/>
      <c r="FA29" s="268"/>
      <c r="FB29" s="268"/>
      <c r="FC29" s="268"/>
      <c r="FD29" s="268"/>
      <c r="FE29" s="268"/>
      <c r="FF29" s="268"/>
      <c r="FG29" s="268"/>
      <c r="FH29" s="268"/>
      <c r="FI29" s="268"/>
      <c r="FJ29" s="268"/>
      <c r="FK29" s="268"/>
      <c r="FL29" s="268"/>
      <c r="FM29" s="268"/>
      <c r="FN29" s="268"/>
      <c r="FO29" s="267"/>
      <c r="FP29" s="267"/>
      <c r="FQ29" s="267"/>
      <c r="FR29" s="268"/>
      <c r="FS29" s="268"/>
      <c r="FT29" s="268"/>
      <c r="FU29" s="268"/>
      <c r="FV29" s="268"/>
      <c r="FW29" s="268"/>
      <c r="FX29" s="268"/>
      <c r="FY29" s="268"/>
      <c r="FZ29" s="268"/>
      <c r="GA29" s="268"/>
      <c r="GB29" s="268"/>
      <c r="GC29" s="268"/>
      <c r="GD29" s="268"/>
      <c r="GE29" s="268"/>
      <c r="GF29" s="268"/>
      <c r="GG29" s="268"/>
      <c r="GH29" s="268"/>
      <c r="GI29" s="267"/>
      <c r="GJ29" s="268"/>
      <c r="GK29" s="268"/>
      <c r="GL29" s="268"/>
      <c r="GM29" s="268"/>
      <c r="GN29" s="268"/>
      <c r="GO29" s="268"/>
      <c r="GP29" s="268"/>
      <c r="GQ29" s="268"/>
      <c r="GR29" s="268"/>
      <c r="GS29" s="268"/>
      <c r="GT29" s="268"/>
      <c r="GU29" s="268"/>
      <c r="GV29" s="268"/>
      <c r="GW29" s="268"/>
      <c r="GX29" s="268"/>
      <c r="GY29" s="268"/>
      <c r="GZ29" s="268"/>
      <c r="HA29" s="267"/>
      <c r="HB29" s="268"/>
      <c r="HC29" s="268"/>
      <c r="HD29" s="268"/>
      <c r="HE29" s="268"/>
      <c r="HF29" s="268"/>
      <c r="HG29" s="268"/>
      <c r="HH29" s="268"/>
      <c r="HI29" s="268"/>
      <c r="HJ29" s="268"/>
      <c r="HK29" s="268"/>
      <c r="HL29" s="268"/>
      <c r="HM29" s="268"/>
      <c r="HN29" s="268"/>
      <c r="HO29" s="268"/>
      <c r="HP29" s="268"/>
      <c r="HQ29" s="267"/>
      <c r="HR29" s="268"/>
      <c r="HS29" s="267"/>
      <c r="HT29" s="268"/>
      <c r="HU29" s="268"/>
      <c r="HV29" s="268"/>
      <c r="HW29" s="268"/>
      <c r="HX29" s="268"/>
      <c r="HY29" s="268"/>
      <c r="HZ29" s="268"/>
      <c r="IA29" s="268"/>
      <c r="IB29" s="268"/>
      <c r="IC29" s="268"/>
      <c r="ID29" s="268"/>
      <c r="IE29" s="268"/>
      <c r="IF29" s="268"/>
      <c r="IG29" s="268"/>
      <c r="IH29" s="268"/>
      <c r="II29" s="268"/>
      <c r="IJ29" s="268"/>
      <c r="IK29" s="267"/>
      <c r="IL29" s="268"/>
      <c r="IM29" s="268"/>
      <c r="IN29" s="268"/>
      <c r="IO29" s="268"/>
      <c r="IP29" s="268"/>
      <c r="IQ29" s="268"/>
      <c r="IR29" s="268"/>
      <c r="IS29" s="268"/>
      <c r="IT29" s="268"/>
      <c r="IU29" s="268"/>
      <c r="IV29" s="268"/>
      <c r="IW29" s="268"/>
      <c r="IX29" s="268"/>
      <c r="IY29" s="268"/>
      <c r="IZ29" s="268"/>
      <c r="JA29" s="268"/>
      <c r="JB29" s="268"/>
      <c r="JC29" s="267"/>
      <c r="JD29" s="268"/>
      <c r="JE29" s="268"/>
      <c r="JF29" s="268"/>
      <c r="JG29" s="268"/>
      <c r="JH29" s="268"/>
      <c r="JI29" s="268"/>
      <c r="JJ29" s="268"/>
      <c r="JK29" s="268"/>
      <c r="JL29" s="268"/>
      <c r="JM29" s="268"/>
      <c r="JN29" s="268"/>
      <c r="JO29" s="268"/>
      <c r="JP29" s="268"/>
      <c r="JQ29" s="268"/>
      <c r="JR29" s="268"/>
      <c r="JS29" s="268"/>
      <c r="JT29" s="268"/>
      <c r="JU29" s="267"/>
      <c r="JV29" s="268"/>
      <c r="JW29" s="268"/>
      <c r="JX29" s="268"/>
      <c r="JY29" s="268"/>
      <c r="JZ29" s="268"/>
      <c r="KA29" s="268"/>
      <c r="KB29" s="268"/>
      <c r="KC29" s="268"/>
      <c r="KD29" s="268"/>
      <c r="KE29" s="268"/>
      <c r="KF29" s="268"/>
      <c r="KG29" s="268"/>
      <c r="KH29" s="268"/>
      <c r="KI29" s="268"/>
      <c r="KJ29" s="268"/>
      <c r="KK29" s="268"/>
      <c r="KL29" s="268"/>
      <c r="KM29" s="267"/>
      <c r="KN29" s="268"/>
      <c r="KO29" s="268"/>
      <c r="KP29" s="268"/>
      <c r="KQ29" s="268"/>
      <c r="KR29" s="268"/>
      <c r="KS29" s="268"/>
      <c r="KT29" s="268"/>
      <c r="KU29" s="268"/>
      <c r="KV29" s="268"/>
      <c r="KW29" s="268"/>
      <c r="KX29" s="268"/>
      <c r="KY29" s="268"/>
      <c r="KZ29" s="268"/>
      <c r="LA29" s="268"/>
      <c r="LB29" s="268"/>
      <c r="LC29" s="268"/>
      <c r="LD29" s="268"/>
      <c r="LE29" s="267"/>
      <c r="LF29" s="268"/>
      <c r="LG29" s="268"/>
      <c r="LH29" s="268"/>
      <c r="LI29" s="268"/>
      <c r="LJ29" s="268"/>
      <c r="LK29" s="268"/>
      <c r="LL29" s="268"/>
      <c r="LM29" s="268"/>
      <c r="LN29" s="268"/>
      <c r="LO29" s="268"/>
      <c r="LP29" s="268"/>
      <c r="LQ29" s="268"/>
      <c r="LR29" s="268"/>
      <c r="LS29" s="268"/>
      <c r="LT29" s="268"/>
      <c r="LU29" s="269"/>
      <c r="LV29" s="269"/>
      <c r="LY29" s="383"/>
      <c r="LZ29" s="383"/>
      <c r="MC29" s="285"/>
      <c r="MD29" s="384" t="s">
        <v>807</v>
      </c>
      <c r="ME29" s="385" t="s">
        <v>77</v>
      </c>
      <c r="MF29" s="385" t="s">
        <v>78</v>
      </c>
      <c r="MG29" s="385" t="s">
        <v>79</v>
      </c>
      <c r="MH29" s="385" t="s">
        <v>80</v>
      </c>
      <c r="MI29" s="385" t="s">
        <v>81</v>
      </c>
      <c r="MJ29" s="385" t="s">
        <v>82</v>
      </c>
      <c r="MK29" s="385" t="s">
        <v>83</v>
      </c>
      <c r="ML29" s="385" t="s">
        <v>84</v>
      </c>
      <c r="MM29" s="385" t="s">
        <v>85</v>
      </c>
      <c r="MN29" s="385" t="s">
        <v>86</v>
      </c>
      <c r="MO29" s="385" t="s">
        <v>87</v>
      </c>
      <c r="MP29" s="385" t="s">
        <v>88</v>
      </c>
      <c r="MQ29" s="385" t="s">
        <v>89</v>
      </c>
      <c r="MR29" s="385" t="s">
        <v>90</v>
      </c>
      <c r="MS29" s="385" t="s">
        <v>91</v>
      </c>
      <c r="MT29" s="386" t="s">
        <v>92</v>
      </c>
      <c r="MU29" s="387"/>
      <c r="NA29" s="469" t="s">
        <v>815</v>
      </c>
      <c r="NB29" s="469" t="s">
        <v>816</v>
      </c>
      <c r="NC29" s="222" t="s">
        <v>817</v>
      </c>
      <c r="ND29" s="222" t="s">
        <v>931</v>
      </c>
      <c r="NE29" s="222" t="s">
        <v>1</v>
      </c>
      <c r="NF29" s="222" t="s">
        <v>2</v>
      </c>
      <c r="NG29" s="222" t="s">
        <v>3</v>
      </c>
      <c r="NH29" s="222" t="s">
        <v>4</v>
      </c>
      <c r="NI29" s="222" t="s">
        <v>5</v>
      </c>
      <c r="NJ29" s="222" t="s">
        <v>924</v>
      </c>
      <c r="NK29" s="222" t="s">
        <v>925</v>
      </c>
      <c r="NL29" s="222" t="s">
        <v>1186</v>
      </c>
      <c r="NM29" s="222" t="s">
        <v>926</v>
      </c>
      <c r="NN29" s="222" t="s">
        <v>1346</v>
      </c>
      <c r="NO29" s="223" t="s">
        <v>818</v>
      </c>
      <c r="NP29" s="223" t="s">
        <v>1347</v>
      </c>
      <c r="NQ29" s="223" t="s">
        <v>1348</v>
      </c>
      <c r="NR29" s="223" t="s">
        <v>1349</v>
      </c>
      <c r="NS29" s="223" t="s">
        <v>6</v>
      </c>
      <c r="NT29" s="223" t="s">
        <v>7</v>
      </c>
      <c r="NU29" s="223" t="s">
        <v>8</v>
      </c>
      <c r="NV29" s="223" t="s">
        <v>1350</v>
      </c>
      <c r="NW29" s="223" t="s">
        <v>1351</v>
      </c>
      <c r="NX29" s="223" t="s">
        <v>1352</v>
      </c>
      <c r="NY29" s="223" t="s">
        <v>1353</v>
      </c>
      <c r="NZ29" s="223" t="s">
        <v>1354</v>
      </c>
      <c r="OA29" s="223" t="s">
        <v>1355</v>
      </c>
      <c r="OB29" s="223" t="s">
        <v>1356</v>
      </c>
      <c r="OC29" s="223" t="s">
        <v>1357</v>
      </c>
      <c r="OD29" s="223" t="s">
        <v>59</v>
      </c>
      <c r="OE29" s="223" t="s">
        <v>60</v>
      </c>
      <c r="OF29" s="223" t="s">
        <v>61</v>
      </c>
      <c r="OG29" s="223" t="s">
        <v>62</v>
      </c>
      <c r="OH29" s="223" t="s">
        <v>354</v>
      </c>
      <c r="OI29" s="223" t="s">
        <v>1374</v>
      </c>
      <c r="OJ29" s="224" t="s">
        <v>1588</v>
      </c>
      <c r="OK29" s="224" t="s">
        <v>1468</v>
      </c>
      <c r="OL29" s="224" t="s">
        <v>9</v>
      </c>
      <c r="OM29" s="224" t="s">
        <v>10</v>
      </c>
      <c r="ON29" s="224" t="s">
        <v>11</v>
      </c>
      <c r="OO29" s="224" t="s">
        <v>12</v>
      </c>
      <c r="OP29" s="224" t="s">
        <v>13</v>
      </c>
      <c r="OQ29" s="224" t="s">
        <v>14</v>
      </c>
      <c r="OR29" s="224" t="s">
        <v>15</v>
      </c>
      <c r="OS29" s="224" t="s">
        <v>16</v>
      </c>
      <c r="OT29" s="224" t="s">
        <v>17</v>
      </c>
      <c r="OU29" s="224" t="s">
        <v>1338</v>
      </c>
      <c r="OV29" s="224" t="s">
        <v>1373</v>
      </c>
      <c r="OW29" s="224" t="s">
        <v>1532</v>
      </c>
      <c r="OX29" s="222" t="s">
        <v>819</v>
      </c>
      <c r="OY29" s="222" t="s">
        <v>1174</v>
      </c>
      <c r="OZ29" s="222" t="s">
        <v>18</v>
      </c>
      <c r="PA29" s="222" t="s">
        <v>19</v>
      </c>
      <c r="PB29" s="222" t="s">
        <v>20</v>
      </c>
      <c r="PC29" s="222" t="s">
        <v>21</v>
      </c>
      <c r="PD29" s="222" t="s">
        <v>22</v>
      </c>
      <c r="PE29" s="222" t="s">
        <v>23</v>
      </c>
      <c r="PF29" s="222" t="s">
        <v>24</v>
      </c>
      <c r="PG29" s="222" t="s">
        <v>25</v>
      </c>
      <c r="PH29" s="222" t="s">
        <v>26</v>
      </c>
      <c r="PI29" s="222" t="s">
        <v>27</v>
      </c>
      <c r="PJ29" s="222" t="s">
        <v>28</v>
      </c>
      <c r="PK29" s="222" t="s">
        <v>29</v>
      </c>
      <c r="PL29" s="225" t="s">
        <v>30</v>
      </c>
      <c r="PM29" s="225" t="s">
        <v>31</v>
      </c>
      <c r="PN29" s="225" t="s">
        <v>63</v>
      </c>
      <c r="PO29" s="225" t="s">
        <v>32</v>
      </c>
      <c r="PP29" s="226" t="s">
        <v>33</v>
      </c>
      <c r="PQ29" s="226" t="s">
        <v>64</v>
      </c>
      <c r="PR29" s="226" t="s">
        <v>34</v>
      </c>
      <c r="PS29" s="226" t="s">
        <v>35</v>
      </c>
      <c r="PT29" s="226" t="s">
        <v>36</v>
      </c>
      <c r="PU29" s="226" t="s">
        <v>37</v>
      </c>
      <c r="PV29" s="226" t="s">
        <v>1539</v>
      </c>
      <c r="PW29" s="226" t="s">
        <v>1575</v>
      </c>
      <c r="PX29" s="226" t="s">
        <v>932</v>
      </c>
      <c r="PY29" s="226" t="s">
        <v>933</v>
      </c>
      <c r="PZ29" s="226" t="s">
        <v>38</v>
      </c>
      <c r="QA29" s="226" t="s">
        <v>1540</v>
      </c>
      <c r="QB29" s="226" t="s">
        <v>39</v>
      </c>
      <c r="QC29" s="226" t="s">
        <v>40</v>
      </c>
      <c r="QD29" s="226" t="s">
        <v>41</v>
      </c>
      <c r="QE29" s="226" t="s">
        <v>1541</v>
      </c>
      <c r="QF29" s="226" t="s">
        <v>361</v>
      </c>
      <c r="QG29" s="226" t="s">
        <v>362</v>
      </c>
      <c r="QH29" s="226" t="s">
        <v>65</v>
      </c>
      <c r="QI29" s="226" t="s">
        <v>66</v>
      </c>
      <c r="QJ29" s="226" t="s">
        <v>67</v>
      </c>
      <c r="QK29" s="226" t="s">
        <v>68</v>
      </c>
      <c r="QL29" s="226" t="s">
        <v>1542</v>
      </c>
      <c r="QM29" s="226" t="s">
        <v>1543</v>
      </c>
      <c r="QN29" s="226" t="s">
        <v>1544</v>
      </c>
      <c r="QO29" s="222" t="s">
        <v>820</v>
      </c>
      <c r="QP29" s="222" t="s">
        <v>1415</v>
      </c>
      <c r="QQ29" s="222" t="s">
        <v>42</v>
      </c>
      <c r="QR29" s="222" t="s">
        <v>1732</v>
      </c>
      <c r="QS29" s="227" t="s">
        <v>1525</v>
      </c>
      <c r="QT29" s="227" t="s">
        <v>1526</v>
      </c>
      <c r="QU29" s="227" t="s">
        <v>336</v>
      </c>
      <c r="QV29" s="227" t="s">
        <v>1096</v>
      </c>
      <c r="QW29" s="227" t="s">
        <v>337</v>
      </c>
      <c r="QX29" s="227" t="s">
        <v>338</v>
      </c>
      <c r="QY29" s="227" t="s">
        <v>339</v>
      </c>
      <c r="QZ29" s="227" t="s">
        <v>529</v>
      </c>
      <c r="RA29" s="227" t="s">
        <v>530</v>
      </c>
      <c r="RB29" s="227" t="s">
        <v>531</v>
      </c>
      <c r="RC29" s="223" t="s">
        <v>821</v>
      </c>
      <c r="RD29" s="223" t="s">
        <v>48</v>
      </c>
      <c r="RE29" s="223" t="s">
        <v>49</v>
      </c>
      <c r="RF29" s="223" t="s">
        <v>532</v>
      </c>
      <c r="RG29" s="223" t="s">
        <v>533</v>
      </c>
      <c r="RH29" s="223" t="s">
        <v>534</v>
      </c>
      <c r="RI29" s="229" t="s">
        <v>535</v>
      </c>
      <c r="RJ29" s="158"/>
      <c r="RK29" s="223" t="s">
        <v>822</v>
      </c>
      <c r="RL29" s="223" t="s">
        <v>69</v>
      </c>
      <c r="RM29" s="223" t="s">
        <v>70</v>
      </c>
      <c r="RN29" s="223" t="s">
        <v>71</v>
      </c>
      <c r="RO29" s="223" t="s">
        <v>72</v>
      </c>
      <c r="RP29" s="223" t="s">
        <v>73</v>
      </c>
      <c r="RQ29" s="223" t="s">
        <v>74</v>
      </c>
      <c r="RR29" s="228" t="s">
        <v>823</v>
      </c>
      <c r="RS29" s="223" t="s">
        <v>536</v>
      </c>
      <c r="RT29" s="223" t="s">
        <v>537</v>
      </c>
      <c r="RU29" s="230" t="s">
        <v>824</v>
      </c>
      <c r="RV29" s="230" t="s">
        <v>538</v>
      </c>
      <c r="RW29" s="230" t="s">
        <v>539</v>
      </c>
      <c r="RX29" s="230" t="s">
        <v>540</v>
      </c>
      <c r="RY29" s="230" t="s">
        <v>541</v>
      </c>
      <c r="RZ29" s="230" t="s">
        <v>542</v>
      </c>
      <c r="SA29" s="230" t="s">
        <v>543</v>
      </c>
      <c r="SB29" s="230" t="s">
        <v>544</v>
      </c>
      <c r="SC29" s="230" t="s">
        <v>545</v>
      </c>
      <c r="SD29" s="230" t="s">
        <v>546</v>
      </c>
      <c r="SE29" s="230" t="s">
        <v>547</v>
      </c>
      <c r="SF29" s="230" t="s">
        <v>548</v>
      </c>
      <c r="SG29" s="230" t="s">
        <v>549</v>
      </c>
      <c r="SH29" s="230" t="s">
        <v>550</v>
      </c>
      <c r="SI29" s="230" t="s">
        <v>551</v>
      </c>
      <c r="SJ29" s="230" t="s">
        <v>552</v>
      </c>
      <c r="SK29" s="230" t="s">
        <v>553</v>
      </c>
      <c r="SL29" s="230" t="s">
        <v>554</v>
      </c>
      <c r="SM29" s="230" t="s">
        <v>825</v>
      </c>
      <c r="SN29" s="227" t="s">
        <v>826</v>
      </c>
      <c r="SO29" s="231" t="s">
        <v>827</v>
      </c>
      <c r="SP29" s="230" t="s">
        <v>828</v>
      </c>
      <c r="SQ29" s="223" t="s">
        <v>470</v>
      </c>
      <c r="SR29" s="223" t="s">
        <v>471</v>
      </c>
      <c r="SS29" s="223" t="s">
        <v>472</v>
      </c>
      <c r="ST29" s="223" t="s">
        <v>473</v>
      </c>
      <c r="SU29" s="223" t="s">
        <v>474</v>
      </c>
      <c r="SV29" s="223" t="s">
        <v>475</v>
      </c>
      <c r="SW29" s="223" t="s">
        <v>476</v>
      </c>
      <c r="SX29" s="223" t="s">
        <v>477</v>
      </c>
      <c r="SY29" s="223" t="s">
        <v>478</v>
      </c>
      <c r="SZ29" s="223" t="s">
        <v>479</v>
      </c>
      <c r="TA29" s="223" t="s">
        <v>480</v>
      </c>
      <c r="TB29" s="223" t="s">
        <v>481</v>
      </c>
      <c r="TC29" s="223" t="s">
        <v>482</v>
      </c>
      <c r="TD29" s="223" t="s">
        <v>483</v>
      </c>
      <c r="TE29" s="223" t="s">
        <v>484</v>
      </c>
      <c r="TF29" s="223" t="s">
        <v>485</v>
      </c>
      <c r="TG29" s="223" t="s">
        <v>486</v>
      </c>
      <c r="TK29" s="361"/>
      <c r="TL29" s="364" t="s">
        <v>1741</v>
      </c>
      <c r="TM29" s="363" t="s">
        <v>1744</v>
      </c>
      <c r="TN29" s="362" t="s">
        <v>1908</v>
      </c>
      <c r="TQ29" s="365"/>
      <c r="TR29" s="369" t="s">
        <v>647</v>
      </c>
      <c r="TS29" s="370" t="s">
        <v>657</v>
      </c>
      <c r="TT29" s="366" t="s">
        <v>655</v>
      </c>
      <c r="TU29" s="367" t="s">
        <v>656</v>
      </c>
      <c r="TV29" s="368" t="s">
        <v>648</v>
      </c>
      <c r="UC29" s="365"/>
      <c r="UD29" s="369" t="s">
        <v>647</v>
      </c>
      <c r="UE29" s="370" t="s">
        <v>657</v>
      </c>
      <c r="UF29" s="366" t="s">
        <v>655</v>
      </c>
      <c r="UG29" s="367" t="s">
        <v>656</v>
      </c>
      <c r="UH29" s="368" t="s">
        <v>648</v>
      </c>
      <c r="VA29" s="371"/>
      <c r="VB29" s="375" t="s">
        <v>647</v>
      </c>
      <c r="VC29" s="376" t="s">
        <v>657</v>
      </c>
      <c r="VD29" s="372" t="s">
        <v>655</v>
      </c>
      <c r="VE29" s="373" t="s">
        <v>656</v>
      </c>
      <c r="VF29" s="374" t="s">
        <v>648</v>
      </c>
      <c r="VH29" s="395"/>
      <c r="VI29" s="377"/>
      <c r="VJ29" s="592"/>
      <c r="VK29" s="592"/>
      <c r="VL29" s="395"/>
      <c r="VM29" s="365"/>
      <c r="VN29" s="379" t="s">
        <v>1743</v>
      </c>
      <c r="VO29" s="380" t="s">
        <v>653</v>
      </c>
      <c r="VQ29" s="365"/>
      <c r="VR29" s="379" t="s">
        <v>1743</v>
      </c>
      <c r="VS29" s="380" t="s">
        <v>653</v>
      </c>
      <c r="VT29" s="381" t="s">
        <v>1932</v>
      </c>
      <c r="VV29" s="382"/>
      <c r="VW29" s="596" t="s">
        <v>1729</v>
      </c>
      <c r="VX29" s="595" t="s">
        <v>1730</v>
      </c>
      <c r="VY29" s="600" t="s">
        <v>1744</v>
      </c>
      <c r="WC29" s="388" t="s">
        <v>843</v>
      </c>
      <c r="WD29" s="388" t="s">
        <v>844</v>
      </c>
      <c r="WE29" s="388" t="s">
        <v>845</v>
      </c>
      <c r="WF29" s="388" t="s">
        <v>846</v>
      </c>
      <c r="WG29" s="388" t="s">
        <v>847</v>
      </c>
      <c r="WH29" s="388" t="s">
        <v>848</v>
      </c>
      <c r="WI29" s="388" t="s">
        <v>849</v>
      </c>
      <c r="WJ29" s="388" t="s">
        <v>850</v>
      </c>
      <c r="WK29" s="388" t="s">
        <v>851</v>
      </c>
      <c r="WL29" s="388" t="s">
        <v>852</v>
      </c>
      <c r="WM29" s="388" t="s">
        <v>853</v>
      </c>
      <c r="WN29" s="388" t="s">
        <v>854</v>
      </c>
      <c r="WO29" s="388" t="s">
        <v>855</v>
      </c>
      <c r="WP29" s="388" t="s">
        <v>856</v>
      </c>
      <c r="WQ29" s="388" t="s">
        <v>857</v>
      </c>
      <c r="WR29" s="388" t="s">
        <v>858</v>
      </c>
      <c r="WS29" s="388" t="s">
        <v>859</v>
      </c>
    </row>
    <row r="30" spans="2:617" ht="16.5" x14ac:dyDescent="0.25">
      <c r="AB30" s="287">
        <v>0</v>
      </c>
      <c r="AC30" s="637"/>
      <c r="AD30" s="637"/>
      <c r="AE30" s="637"/>
      <c r="AF30" s="637"/>
      <c r="AG30" s="637"/>
      <c r="AH30" s="637"/>
      <c r="AI30" s="637"/>
      <c r="AJ30" s="637"/>
      <c r="AK30" s="638"/>
      <c r="AL30" s="638"/>
      <c r="AM30" s="637"/>
      <c r="AN30" s="637"/>
      <c r="AO30" s="637"/>
      <c r="AP30" s="637"/>
      <c r="AQ30" s="639"/>
      <c r="AR30" s="639"/>
      <c r="AS30" s="638"/>
      <c r="AT30" s="638"/>
      <c r="AU30" s="637"/>
      <c r="AV30" s="637"/>
      <c r="AW30" s="637"/>
      <c r="AX30" s="637"/>
      <c r="AY30" s="637"/>
      <c r="AZ30" s="637"/>
      <c r="BA30" s="637"/>
      <c r="BB30" s="637"/>
      <c r="BC30" s="637"/>
      <c r="BD30" s="637"/>
      <c r="BE30" s="637"/>
      <c r="BF30" s="639"/>
      <c r="BG30" s="637"/>
      <c r="BH30" s="639"/>
      <c r="BI30" s="637"/>
      <c r="BJ30" s="637"/>
      <c r="BK30" s="637"/>
      <c r="BL30" s="637"/>
      <c r="BM30" s="637"/>
      <c r="BN30" s="637"/>
      <c r="BO30" s="637"/>
      <c r="BP30" s="637"/>
      <c r="BQ30" s="637"/>
      <c r="BR30" s="637"/>
      <c r="BS30" s="637"/>
      <c r="BT30" s="637"/>
      <c r="BU30" s="637"/>
      <c r="BV30" s="637"/>
      <c r="BW30" s="638"/>
      <c r="BX30" s="638"/>
      <c r="BY30" s="637"/>
      <c r="BZ30" s="637"/>
      <c r="CA30" s="637"/>
      <c r="CB30" s="637"/>
      <c r="CC30" s="637"/>
      <c r="CD30" s="637"/>
      <c r="CE30" s="637"/>
      <c r="CF30" s="637"/>
      <c r="CG30" s="637"/>
      <c r="CH30" s="637"/>
      <c r="CI30" s="637"/>
      <c r="CJ30" s="637"/>
      <c r="CK30" s="637"/>
      <c r="CL30" s="637"/>
      <c r="CM30" s="637"/>
      <c r="CN30" s="637"/>
      <c r="CO30" s="637"/>
      <c r="CP30" s="637"/>
      <c r="CQ30" s="637"/>
      <c r="CR30" s="637"/>
      <c r="CS30" s="637"/>
      <c r="CT30" s="637"/>
      <c r="CU30" s="637"/>
      <c r="CV30" s="637"/>
      <c r="CW30" s="637"/>
      <c r="CX30" s="637"/>
      <c r="CY30" s="637"/>
      <c r="CZ30" s="637"/>
      <c r="DA30" s="637"/>
      <c r="DB30" s="637"/>
      <c r="DC30" s="637"/>
      <c r="DD30" s="637"/>
      <c r="DE30" s="637"/>
      <c r="DF30" s="640"/>
      <c r="DG30" s="637"/>
      <c r="DH30" s="637"/>
      <c r="DI30" s="637"/>
      <c r="DJ30" s="637"/>
      <c r="DK30" s="637"/>
      <c r="DL30" s="637"/>
      <c r="DM30" s="637"/>
      <c r="DN30" s="637"/>
      <c r="DO30" s="639"/>
      <c r="DP30" s="639"/>
      <c r="DQ30" s="639"/>
      <c r="DR30" s="639"/>
      <c r="DS30" s="639"/>
      <c r="DT30" s="639"/>
      <c r="DU30" s="639"/>
      <c r="DV30" s="639"/>
      <c r="DW30" s="639"/>
      <c r="DX30" s="639"/>
      <c r="DY30" s="639"/>
      <c r="DZ30" s="639"/>
      <c r="EA30" s="639"/>
      <c r="EB30" s="637"/>
      <c r="EC30" s="639"/>
      <c r="ED30" s="639"/>
      <c r="EE30" s="639"/>
      <c r="EF30" s="639"/>
      <c r="EG30" s="639"/>
      <c r="EH30" s="639"/>
      <c r="EI30" s="639"/>
      <c r="EJ30" s="639"/>
      <c r="EK30" s="639"/>
      <c r="EL30" s="639"/>
      <c r="EM30" s="639"/>
      <c r="EN30" s="639"/>
      <c r="EO30" s="639"/>
      <c r="EP30" s="639"/>
      <c r="EQ30" s="639"/>
      <c r="ER30" s="639"/>
      <c r="ES30" s="637"/>
      <c r="ET30" s="639"/>
      <c r="EU30" s="639"/>
      <c r="EV30" s="639"/>
      <c r="EW30" s="639"/>
      <c r="EX30" s="639"/>
      <c r="EY30" s="639"/>
      <c r="EZ30" s="639"/>
      <c r="FA30" s="639"/>
      <c r="FB30" s="639"/>
      <c r="FC30" s="639"/>
      <c r="FD30" s="639"/>
      <c r="FE30" s="639"/>
      <c r="FF30" s="639"/>
      <c r="FG30" s="639"/>
      <c r="FH30" s="639"/>
      <c r="FI30" s="639"/>
      <c r="FJ30" s="639"/>
      <c r="FK30" s="639"/>
      <c r="FL30" s="639"/>
      <c r="FM30" s="639"/>
      <c r="FN30" s="639"/>
      <c r="FO30" s="637"/>
      <c r="FP30" s="637"/>
      <c r="FQ30" s="639"/>
      <c r="FR30" s="639"/>
      <c r="FS30" s="639"/>
      <c r="FT30" s="639"/>
      <c r="FU30" s="639"/>
      <c r="FV30" s="639"/>
      <c r="FW30" s="639"/>
      <c r="FX30" s="639"/>
      <c r="FY30" s="639"/>
      <c r="FZ30" s="639"/>
      <c r="GA30" s="639"/>
      <c r="GB30" s="639"/>
      <c r="GC30" s="639"/>
      <c r="GD30" s="639"/>
      <c r="GE30" s="639"/>
      <c r="GF30" s="639"/>
      <c r="GG30" s="639"/>
      <c r="GH30" s="639"/>
      <c r="GI30" s="639"/>
      <c r="GJ30" s="639"/>
      <c r="GK30" s="639"/>
      <c r="GL30" s="639"/>
      <c r="GM30" s="639"/>
      <c r="GN30" s="639"/>
      <c r="GO30" s="639"/>
      <c r="GP30" s="639"/>
      <c r="GQ30" s="639"/>
      <c r="GR30" s="639"/>
      <c r="GS30" s="639"/>
      <c r="GT30" s="639"/>
      <c r="GU30" s="639"/>
      <c r="GV30" s="639"/>
      <c r="GW30" s="639"/>
      <c r="GX30" s="639"/>
      <c r="GY30" s="639"/>
      <c r="GZ30" s="639"/>
      <c r="HA30" s="639"/>
      <c r="HB30" s="639"/>
      <c r="HC30" s="639"/>
      <c r="HD30" s="639"/>
      <c r="HE30" s="639"/>
      <c r="HF30" s="639"/>
      <c r="HG30" s="639"/>
      <c r="HH30" s="639"/>
      <c r="HI30" s="639"/>
      <c r="HJ30" s="639"/>
      <c r="HK30" s="639"/>
      <c r="HL30" s="639"/>
      <c r="HM30" s="639"/>
      <c r="HN30" s="639"/>
      <c r="HO30" s="639"/>
      <c r="HP30" s="639"/>
      <c r="HQ30" s="639"/>
      <c r="HR30" s="639"/>
      <c r="HS30" s="639"/>
      <c r="HT30" s="639"/>
      <c r="HU30" s="639"/>
      <c r="HV30" s="639"/>
      <c r="HW30" s="639"/>
      <c r="HX30" s="639"/>
      <c r="HY30" s="639"/>
      <c r="HZ30" s="639"/>
      <c r="IA30" s="639"/>
      <c r="IB30" s="639"/>
      <c r="IC30" s="639"/>
      <c r="ID30" s="639"/>
      <c r="IE30" s="639"/>
      <c r="IF30" s="639"/>
      <c r="IG30" s="639"/>
      <c r="IH30" s="639"/>
      <c r="II30" s="639"/>
      <c r="IJ30" s="639"/>
      <c r="IK30" s="639"/>
      <c r="IL30" s="639"/>
      <c r="IM30" s="639"/>
      <c r="IN30" s="639"/>
      <c r="IO30" s="639"/>
      <c r="IP30" s="639"/>
      <c r="IQ30" s="639"/>
      <c r="IR30" s="639"/>
      <c r="IS30" s="639"/>
      <c r="IT30" s="639"/>
      <c r="IU30" s="639"/>
      <c r="IV30" s="639"/>
      <c r="IW30" s="639"/>
      <c r="IX30" s="639"/>
      <c r="IY30" s="639"/>
      <c r="IZ30" s="639"/>
      <c r="JA30" s="639"/>
      <c r="JB30" s="639"/>
      <c r="JC30" s="639"/>
      <c r="JD30" s="639"/>
      <c r="JE30" s="639"/>
      <c r="JF30" s="639"/>
      <c r="JG30" s="639"/>
      <c r="JH30" s="639"/>
      <c r="JI30" s="639"/>
      <c r="JJ30" s="639"/>
      <c r="JK30" s="639"/>
      <c r="JL30" s="639"/>
      <c r="JM30" s="639"/>
      <c r="JN30" s="639"/>
      <c r="JO30" s="639"/>
      <c r="JP30" s="639"/>
      <c r="JQ30" s="639"/>
      <c r="JR30" s="639"/>
      <c r="JS30" s="639"/>
      <c r="JT30" s="639"/>
      <c r="JU30" s="639"/>
      <c r="JV30" s="639"/>
      <c r="JW30" s="639"/>
      <c r="JX30" s="639"/>
      <c r="JY30" s="639"/>
      <c r="JZ30" s="639"/>
      <c r="KA30" s="639"/>
      <c r="KB30" s="639"/>
      <c r="KC30" s="639"/>
      <c r="KD30" s="639"/>
      <c r="KE30" s="639"/>
      <c r="KF30" s="639"/>
      <c r="KG30" s="639"/>
      <c r="KH30" s="639"/>
      <c r="KI30" s="639"/>
      <c r="KJ30" s="639"/>
      <c r="KK30" s="639"/>
      <c r="KL30" s="639"/>
      <c r="KM30" s="639"/>
      <c r="KN30" s="639"/>
      <c r="KO30" s="639"/>
      <c r="KP30" s="639"/>
      <c r="KQ30" s="639"/>
      <c r="KR30" s="639"/>
      <c r="KS30" s="639"/>
      <c r="KT30" s="639"/>
      <c r="KU30" s="639"/>
      <c r="KV30" s="639"/>
      <c r="KW30" s="639"/>
      <c r="KX30" s="639"/>
      <c r="KY30" s="639"/>
      <c r="KZ30" s="639"/>
      <c r="LA30" s="639"/>
      <c r="LB30" s="639"/>
      <c r="LC30" s="639"/>
      <c r="LD30" s="639"/>
      <c r="LE30" s="639"/>
      <c r="LF30" s="639"/>
      <c r="LG30" s="639"/>
      <c r="LH30" s="639"/>
      <c r="LI30" s="639"/>
      <c r="LJ30" s="639"/>
      <c r="LK30" s="639"/>
      <c r="LL30" s="639"/>
      <c r="LM30" s="639"/>
      <c r="LN30" s="639"/>
      <c r="LO30" s="639"/>
      <c r="LP30" s="639"/>
      <c r="LQ30" s="639"/>
      <c r="LR30" s="639"/>
      <c r="LS30" s="639"/>
      <c r="LT30" s="639"/>
      <c r="LU30" s="639"/>
      <c r="LV30" s="639"/>
      <c r="LY30" s="310"/>
      <c r="LZ30" s="310"/>
      <c r="MB30" s="310"/>
      <c r="MC30" s="299" t="s">
        <v>860</v>
      </c>
      <c r="MD30" s="400"/>
      <c r="ME30" s="401"/>
      <c r="MF30" s="401"/>
      <c r="MG30" s="402"/>
      <c r="MH30" s="402"/>
      <c r="MI30" s="401"/>
      <c r="MJ30" s="401"/>
      <c r="MK30" s="401"/>
      <c r="ML30" s="401"/>
      <c r="MM30" s="402"/>
      <c r="MN30" s="402"/>
      <c r="MO30" s="401"/>
      <c r="MP30" s="401"/>
      <c r="MQ30" s="401"/>
      <c r="MR30" s="402"/>
      <c r="MS30" s="402"/>
      <c r="MT30" s="403"/>
      <c r="MU30" s="310"/>
      <c r="NA30" s="470" t="str">
        <f>IF(AF30="","",$AF30)</f>
        <v/>
      </c>
      <c r="NB30" s="470" t="str">
        <f>IF($AG30="","",$AG30)</f>
        <v/>
      </c>
      <c r="NC30" s="232" t="str">
        <f>IF(OR($AK30="",$C$4=""),"",IF($C$4=0,0,$AK30/$C$4))</f>
        <v/>
      </c>
      <c r="ND30" s="233" t="str">
        <f>IF(OR($NI30="",$NC30=""),"",IF($NC30=0,0,$NI30/10^9/$NC30))</f>
        <v/>
      </c>
      <c r="NE30" s="234" t="str">
        <f t="shared" ref="NE30:NE41" si="14">IF(OR($ND30="",$C$13="",$C$16=""),"",IF($C$13=0,0,$ND30/($C$13*$C$16/10^9)))</f>
        <v/>
      </c>
      <c r="NF30" s="233" t="str">
        <f t="shared" ref="NF30:NF41" si="15">IF(OR($AO30="",$AQ30="",$AR30="",$AP30="",$C$7="",$NC30=""),"",IF($NC30=0,0,(($AO30-$AQ30-$AR30+$AP30)*$C$7/10^9)/$NC30))</f>
        <v/>
      </c>
      <c r="NG30" s="235"/>
      <c r="NH30" s="236" t="str">
        <f>IF($AS30="","",$AS30)</f>
        <v/>
      </c>
      <c r="NI30" s="233" t="str">
        <f t="shared" ref="NI30:NI41" si="16">IF(OR($AM30="",$C$11="",$AN30=""),"",$AM30*$C$11+$AN30)</f>
        <v/>
      </c>
      <c r="NJ30" s="237" t="str">
        <f>IF(OR($AT30="",$AS30=""),"",IF($AS30=0,0,$AT30/$AS30))</f>
        <v/>
      </c>
      <c r="NK30" s="238" t="str">
        <f>IF(OR($AM30="",$C$11="",$AN30=""),"",IF($AM30*$C$11+$AN30=0,0,$AM30*$C$11/($AM30*$C$11+$AN30)))</f>
        <v/>
      </c>
      <c r="NL30" s="239" t="str">
        <f t="shared" ref="NL30:NL41" si="17">IF(OR($CB30="",$CD30="",$CA30="",$CC30=""),"",IF(($CA30+$CC30)=0,0,
GuardLimitUpper(
  ($CB30+$CD30) / ( ($CA30+$CC30)*16),
  data_GuardLimitFlag,
  1)
 ))</f>
        <v/>
      </c>
      <c r="NM30" s="240" t="str">
        <f>IF(OR($AS30="",$AL30=""),"",IF($AL30=0,0,$AS30/$AL30))</f>
        <v/>
      </c>
      <c r="NN30" s="240" t="str">
        <f t="shared" ref="NN30:NN41" si="18">IF(OR($AS30="",$NC30=""),"",IF($NC30=0,0,$AS30/10^9/$NC30))</f>
        <v/>
      </c>
      <c r="NO30" s="241" t="str">
        <f t="shared" ref="NO30:NO41" si="19">IF($O$5="Lv2",IF(OR($BH30="",$BD30="",$NC30=""),"",IF($BD30=0,0,$BH30/$BD30*$NC30)),
                             IF(OR($BH30="",$EE30="",$BD30="",$NC30=""),"",IF($BD30=0,0,
GuardLimitLower(
  ($BH30-$EE30)/$BD30*$NC30,
  data_GuardLimitFlag,
  0)
)))</f>
        <v/>
      </c>
      <c r="NP30" s="242" t="str">
        <f>IF($O$5="Lv2","",IF(OR($EE30="",$BD30="",$NC30=""),"",IF($BD30=0,0,($EE30)/$BD30*$NC30)))</f>
        <v/>
      </c>
      <c r="NQ30" s="241" t="str">
        <f>IF($O$5="Lv2","",IF(OR($EC30="",$BD30="",$NC30=""),"",IF($BD30=0,0,$EC30/$BD30*$NC30)))</f>
        <v/>
      </c>
      <c r="NR30" s="241" t="str">
        <f>IF($O$5="Lv2","",IF(OR($EB30="",$EC30="",$BD30="",$NC30=""),"",IF($BD30=0,0,($EB30-$EC30)/$BD30*$NC30)))</f>
        <v/>
      </c>
      <c r="NS30" s="241" t="str">
        <f t="shared" ref="NS30:NS41" si="20">IF($O$5="Lv2","",IF(OR($EA30="",$BD30="",$NC30=""),"",IF($BD30=0,0,$EA30/$BD30*$NC30)))</f>
        <v/>
      </c>
      <c r="NT30" s="241" t="str">
        <f t="shared" ref="NT30:NT41" si="21">IF($O$5="Lv2","",IF(OR($DY30="",$EC30="",$EA30="",$ED30="",$BD30="",$NC30=""),"",IF($BD30=0,0,($DY30-($EC30+$EA30+$ED30))/$BD30*$NC30)))</f>
        <v/>
      </c>
      <c r="NU30" s="241" t="str">
        <f t="shared" ref="NU30:NU41" si="22">IF($O$5="Lv2",  IF(OR($BG30="",$BH30="",$BD30="",$NC30=""),"",IF($BD30=0,0,($BG30-$BH30)/$BD30*$NC30)),
                               IF(OR($DZ30="",$EA30="",$BD30="",$NC30=""),"",IF($BD30=0,0,($DZ30-$EA30)/$BD30*$NC30)))</f>
        <v/>
      </c>
      <c r="NV30" s="241" t="str">
        <f>IF($O$5="Lv2","",IF(OR($BG30="",$EB30="",$DZ30="",$BH30="",$NT30="",$BD30="",$NC30=""),"",IF(OR($BD30=0,$NC30=0),0,
GuardLimitLower(
  ($BG30-($EB30+$DZ30+$BH30+$NT30*$BD30/$NC30))/$BD30*$NC30,
  data_GuardLimitFlag,
  0)
)))</f>
        <v/>
      </c>
      <c r="NW30" s="241" t="str">
        <f t="shared" ref="NW30:NW41" si="23">IF($O$5="Lv2","",IF(OR($BI30="",$EF30="",$BD30="",$NC30=""),"",IF($BD30=0,0,
GuardLimitLower(
  ($BI30-$EF30)/$BD30*$NC30,
  data_GuardLimitFlag,
  0)
)))</f>
        <v/>
      </c>
      <c r="NX30" s="241" t="str">
        <f t="shared" ref="NX30:NX41" si="24">IF($O$5="Lv2",  IF(OR($BI30="",$BD30="",$NC30=""),"",IF($BD30=0,0,($BI30)/$BD30*$NC30)),
                               IF(OR($EF30="",$BD30="",$NC30=""),"",IF($BD30=0,0,($EF30)/$BD30*$NC30)))</f>
        <v/>
      </c>
      <c r="NY30" s="241" t="str">
        <f t="shared" ref="NY30:NY41" si="25">IF($O$5="Lv2","",IF(OR($ET30="",$BD30="",$NC30=""),"",IF($BD30=0,0,($ET30/$BD30*$NC30))))</f>
        <v/>
      </c>
      <c r="NZ30" s="241" t="str">
        <f t="shared" ref="NZ30:NZ41" si="26">IF($O$5="Lv2",  IF(OR($BE30="",$BG30="",$BI30="",$BJ30="",$BD30="",$NC30=""),"",                 IF($BD30=0,0,($BE30-($BG30+$BI30+$BJ30))/$BD30*$NC30)),
                               IF(OR($BE30="",$BG30="",$BI30="",$BJ30="",$ET30="",$BD30="",$NC30=""),"",IF($BD30=0,0,
GuardLimitLower(
  ($BE30-($BG30+$BI30+$BJ30+$ET30))/$BD30*$NC30,
  data_GuardLimitFlag,
  0)
)))</f>
        <v/>
      </c>
      <c r="OA30" s="241" t="str">
        <f t="shared" ref="OA30:OA41" si="27">IF(OR($BK30="",$BD30="",$NC30=""),"",IF($BD30=0,0,$BK30/$BD30*$NC30))</f>
        <v/>
      </c>
      <c r="OB30" s="241" t="str">
        <f t="shared" ref="OB30:OB41" si="28">IF(OR($BJ30="",$BK30="",$BL30="",$BD30="",$NC30=""),"",IF($BD30=0,0,($BJ30-($BK30+$BL30))/$BD30*$NC30))</f>
        <v/>
      </c>
      <c r="OC30" s="241" t="str">
        <f t="shared" ref="OC30:OC41" si="29">IF(OR($BL30="",$BD30="",$NC30=""),"",IF($BD30=0,0,$BL30/$BD30*$NC30))</f>
        <v/>
      </c>
      <c r="OD30" s="241" t="str">
        <f t="shared" ref="OD30:OD41" si="30">IF(OR($BF30="",$BD30="",$NC30=""),"",IF($BD30=0,0,$BF30/$BD30*$NC30))</f>
        <v/>
      </c>
      <c r="OE30" s="241" t="str">
        <f t="shared" ref="OE30:OE41" si="31">IF($O$5="Lv2","",IF(OR($EQ30="",$BD30="",$NC30=""),"",IF($BD30=0,0,$EQ30/$BD30*$NC30)))</f>
        <v/>
      </c>
      <c r="OF30" s="241" t="str">
        <f t="shared" ref="OF30:OF41" si="32">IF($O$5="Lv2","",IF(OR($ER30="",$BD30="",$NC30=""),"",IF($BD30=0,0,$ER30/$BD30*$NC30)))</f>
        <v/>
      </c>
      <c r="OG30" s="241" t="str">
        <f t="shared" ref="OG30:OG41" si="33">IF($O$5="Lv2","",IF(OR($ES30="",$BD30="",$NC30=""),"",IF($BD30=0,0,$ES30/$BD30*$NC30)))</f>
        <v/>
      </c>
      <c r="OH30" s="241" t="str">
        <f t="shared" ref="OH30:OH41" si="34">IF($O$5="Lv2",  IF(OR($BD30="",$BE30="",$BF30="",$BD30="",$NC30=""),"",                                                     IF($BD30=0,0,($BD30-($BE30+$BF30))/$BD30*$NC30)),
                               IF(OR($BD30="",$BE30="",$BF30="",$EQ30="",$ER30="",$ES30="",$BD30="",$NC30=""),"",IF($BD30=0,0,
GuardLimitLower(
  ($BD30-($BE30+$BF30+$EQ30+$ER30+$ES30))/$BD30*$NC30,
  data_GuardLimitFlag,
  0)
)))</f>
        <v/>
      </c>
      <c r="OI30" s="241" t="str">
        <f>IF($NQ$25="","",IF($NC30=0,"",$NC30))</f>
        <v/>
      </c>
      <c r="OJ30" s="244" t="str">
        <f>IF(OR($CA30="",$BV30=""),"",IF($BV30=0,0,$CA30/$BV30))</f>
        <v/>
      </c>
      <c r="OK30" s="244" t="str">
        <f>IF(OR($CC30="",$BV30=""),"",IF($BV30=0,0,$CC30/$BV30))</f>
        <v/>
      </c>
      <c r="OL30" s="244" t="str">
        <f>IF(OR($FO30="",$FH30=""),"",IF($FH30=0,0,$FO30/$FH30))</f>
        <v/>
      </c>
      <c r="OM30" s="244" t="str">
        <f>IF(OR($FP30="",$FH30=""),"",IF($FH30=0,0,$FP30/$FH30))</f>
        <v/>
      </c>
      <c r="ON30" s="243" t="str">
        <f t="shared" ref="ON30:ON41" si="35">IF(OR($BW30="",$BX30="",$BV30=""),"",IF($BV30=0,0,AVERAGE($BW30,$BX30)/$BV30))</f>
        <v/>
      </c>
      <c r="OO30" s="235"/>
      <c r="OP30" s="235"/>
      <c r="OQ30" s="244" t="str">
        <f>IF(OR($FM30="",$FH30=""),"",IF($FH30=0,0,$FM30/$FH30))</f>
        <v/>
      </c>
      <c r="OR30" s="244" t="str">
        <f>IF(OR($FN30="",$FH30=""),"",IF($FH30=0,0,$FN30/$FH30))</f>
        <v/>
      </c>
      <c r="OS30" s="250" t="str">
        <f t="shared" ref="OS30:OS41" si="36">IF(OR($CB30="",$CA30=""),"",IF($CA30=0,0,
GuardLimitUpper(
  $CB30/($CA30*16),
  data_GuardLimitFlag,
  1)
))</f>
        <v/>
      </c>
      <c r="OT30" s="250" t="str">
        <f t="shared" ref="OT30:OT41" si="37">IF(OR($CD30="",$CC30=""),"",IF($CC30=0,0,
GuardLimitUpper(
  $CD30/($CC30*16),
  data_GuardLimitFlag,
  1)
))</f>
        <v/>
      </c>
      <c r="OU30" s="245" t="str">
        <f t="shared" ref="OU30:OU41" si="38">IF(OR($KH30="",$KJ30=""),"",IF($KJ30=0,0,$KH30/($KJ30*16)))</f>
        <v/>
      </c>
      <c r="OV30" s="245" t="str">
        <f t="shared" ref="OV30:OV41" si="39">IF(OR($KI30="",$KK30=""),"",IF($KK30=0,0,$KI30/($KK30*16)))</f>
        <v/>
      </c>
      <c r="OW30" s="234" t="str">
        <f>IF(OR($BZ30="",$BV30=""),"",IF($BV30=0,0,$BZ30/$BV30))</f>
        <v/>
      </c>
      <c r="OX30" s="246" t="str">
        <f t="shared" ref="OX30:OX41" si="40">IF(OR($GG30="",$AS30=""),"",IF($AS30=0,0,$GG30/$AS30))</f>
        <v/>
      </c>
      <c r="OY30" s="233" t="str">
        <f>IF(OR($DJ30="",$DK30=""),"",$DJ30+$DK30)</f>
        <v/>
      </c>
      <c r="OZ30" s="233" t="str">
        <f t="shared" ref="OZ30:OZ41" si="41">IF($CP30="","",$CP30)</f>
        <v/>
      </c>
      <c r="PA30" s="234" t="str">
        <f>IF(OR($OZ30="",$OY30=""),"",IF($OY30=0,0,$OZ30/$OY30))</f>
        <v/>
      </c>
      <c r="PB30" s="234" t="str">
        <f>IF(OR($CQ30="",$OZ30=""),"",IF($OZ30=0,0,
GuardLimitUpper(
  ($OZ30-$CQ30)/$OZ30,
  data_GuardLimitFlag,
  1)
))</f>
        <v/>
      </c>
      <c r="PC30" s="234" t="str">
        <f t="shared" ref="PC30:PC41" si="42">IF(OR($GB30="",$OZ30=""),"",IF($OZ30=0,0,
GuardLimitUpper(
  $GB30/($OZ30),
  data_GuardLimitFlag,
  1)
))</f>
        <v/>
      </c>
      <c r="PD30" s="234" t="str">
        <f t="shared" ref="PD30:PD41" si="43">IF(OR($CQ30="",$GB30="",$OZ30=""),"",IF($OZ30=0,0,
GuardLimitUpper(
  ($CQ30-$GB30)/$OZ30,
  data_GuardLimitFlag,
  1)
))</f>
        <v/>
      </c>
      <c r="PE30" s="233" t="str">
        <f>IF($OY$25="","",IF(OR($AO30="",$AQ30="",$AR30=""),"",$AO30-$AQ30-$AR30))</f>
        <v/>
      </c>
      <c r="PF30" s="234" t="str">
        <f>IF(OR($PE30="",$OY30=""),"",IF($OY30=0,0,$PE30/$OY30))</f>
        <v/>
      </c>
      <c r="PG30" s="234" t="str">
        <f t="shared" ref="PG30:PG41" si="44">IF($O$7="Lv2",IF(OR($CS30="",$CO30="",$PE30=""),"",IF($PE30=0,0,($CS30-$CO30)/$PE30)),
                             IF(OR($CS30="",$CO30="",$GH30="",$GC30=""),"",IF($CS30-$CO30+$GC30-$GH30=0,0,
GuardLimitUpper(
  GuardLimitLower(
  ($CS30-$CO30)/($CS30-$CO30+$GC30-$GH30),
    data_GuardLimitFlag,
    0),
  data_GuardLimitFlag,
  1)
)))</f>
        <v/>
      </c>
      <c r="PH30" s="234" t="str">
        <f t="shared" ref="PH30:PH41" si="45">IF(OR($GD30="",$CS30="",$CO30="",$GC30="",$GH30=""),"",IF($CS30-$CO30+$GC30-$GH30=0,0,
GuardLimitUpper(
  $GD30/($CS30-$CO30+$GC30-$GH30),
  data_GuardLimitFlag,
  1)
))</f>
        <v/>
      </c>
      <c r="PI30" s="234" t="str">
        <f t="shared" ref="PI30:PI41" si="46">IF(OR($GC30="",$GH30="",$GD30="",$CS30="",$CO30=""),"",IF($CS30-$CO30+$GC30-$GH30=0,0,
GuardLimitUpper(
  GuardLimitLower(
  ($GC30-$GH30-$GD30)/($CS30-$CO30+$GC30-$GH30),
    data_GuardLimitFlag,
    0),
  data_GuardLimitFlag,
  1)
))</f>
        <v/>
      </c>
      <c r="PJ30" s="247" t="str">
        <f t="shared" ref="PJ30:PJ41" si="47">IF(OR($GE30="",$OY30=""),"",IF($OY30=0,0,$GE30/$OY30))</f>
        <v/>
      </c>
      <c r="PK30" s="247" t="str">
        <f t="shared" ref="PK30:PK41" si="48">IF(OR($GF30="",$OY30=""),"",IF($OY30=0,0,$GF30/$OY30))</f>
        <v/>
      </c>
      <c r="PL30" s="248" t="str">
        <f>IF($O$8="Lv2",  IF($DL30="","",IF($CT30="",$DL30,
GuardLimitLower(
  $DL30-$CT30,
  data_GuardLimitFlag,
  0)
)),
                               IF(OR($DL30="",$HQ30="",$GS30="",$HR30="",$HK30="",$CT30="",$GU30=""),"",
GuardLimitLower(
  ($DL30-$HQ30)-($GS30+$HR30+$HK30+$CT30+$GU30),
  data_GuardLimitFlag,
  0)
))</f>
        <v/>
      </c>
      <c r="PM30" s="248" t="str">
        <f t="shared" ref="PM30:PM41" si="49">IF($O$8="Lv2", "",IF($HK30="","",$HK30))</f>
        <v/>
      </c>
      <c r="PN30" s="248" t="str">
        <f>IF($CT30="","",$CT30)</f>
        <v/>
      </c>
      <c r="PO30" s="248" t="str">
        <f t="shared" ref="PO30:PO41" si="50">IF($O$8="Lv2", "",IF($HR30="","",$HR30))</f>
        <v/>
      </c>
      <c r="PP30" s="566" t="str">
        <f t="shared" ref="PP30:PP41" si="51">IF($O$8="Lv2","",IF($GS30="","",IF($IU30="",$GS30,
GuardLimitLower(
  $GS30-$IU30,
  data_GuardLimitFlag,
  0)
)))</f>
        <v/>
      </c>
      <c r="PQ30" s="581" t="str">
        <f>IF($O$8="Lv2","",IF($IU30="","",$IU30))</f>
        <v/>
      </c>
      <c r="PR30" s="566" t="str">
        <f t="shared" ref="PR30:PR41" si="52">IF($O$8="Lv2", "",IF($GU30="","",$GU30))</f>
        <v/>
      </c>
      <c r="PS30" s="248" t="str">
        <f t="shared" ref="PS30:PS41" si="53">IF($O$8="Lv2",IF(OR($DJ30="",$DL30=""),"",$DJ30-$DL30),
                             IF(OR($DJ30="",$DL30="",$HQ30=""),"",$DJ30-($DL30-$HQ30)))</f>
        <v/>
      </c>
      <c r="PT30" s="248" t="str">
        <f>IF($O$8="Lv2",  IF($DM30="","",IF($CU30="",$DM30,
GuardLimitLower(
  $DM30-$CU30,
  data_GuardLimitFlag,
  0)
)),
                               IF(OR($DM30="",$HO30="",$GT30="",$HL30="",$CU30=""),"",
GuardLimitLower(
  ($DM30-$HO30)-($GT30+$HL30+$CU30),
  data_GuardLimitFlag,
  0)
))</f>
        <v/>
      </c>
      <c r="PU30" s="248" t="str">
        <f t="shared" ref="PU30:PU41" si="54">IF($O$8="Lv2", "",IF($HL30="","",$HL30))</f>
        <v/>
      </c>
      <c r="PV30" s="248" t="str">
        <f>IF($CU30="","",$CU30)</f>
        <v/>
      </c>
      <c r="PW30" s="566" t="str">
        <f t="shared" ref="PW30:PW41" si="55">IF($O$8="Lv2","",IF($GT30="","",IF($IV30="",$GT30,
GuardLimitLower(
  $GT30-$IV30,
  data_GuardLimitFlag,
  0)
)))</f>
        <v/>
      </c>
      <c r="PX30" s="566" t="str">
        <f>IF($O$8="Lv2","",IF($IV30="","",$IV30))</f>
        <v/>
      </c>
      <c r="PY30" s="566" t="str">
        <f t="shared" ref="PY30:PY41" si="56">IF($O$8="Lv2",IF(OR($DK30="",$DM30=""),"",$DK30-$DM30),
                             IF(OR($DK30="",$DM30="",$HO30=""),"",$DK30-($DM30-$HO30)))</f>
        <v/>
      </c>
      <c r="PZ30" s="248" t="str">
        <f t="shared" ref="PZ30:PZ41" si="57">IF($O$8="Lv2","",IF($GW30="","",$GW30))</f>
        <v/>
      </c>
      <c r="QA30" s="248" t="str">
        <f t="shared" ref="QA30:QA41" si="58">IF($O$8="Lv2","",IF($GV30="","",$GV30))</f>
        <v/>
      </c>
      <c r="QB30" s="248" t="str">
        <f t="shared" ref="QB30:QB41" si="59">IF($O$8="Lv2","",IF(OR($DN30="",$GV30="",$GW30=""),"",
GuardLimitLower(
  $DN30-($GV30+$GW30),
  data_GuardLimitFlag,
  0)
))</f>
        <v/>
      </c>
      <c r="QC30" s="248" t="str">
        <f t="shared" ref="QC30:QC41" si="60">IF($O$8="Lv2","",IF($GX30="","",$GX30))</f>
        <v/>
      </c>
      <c r="QD30" s="248" t="str">
        <f>IF(OR($DG30="",$DH30="",$DI30=""),"",$DG30-($DH30+$DI30))</f>
        <v/>
      </c>
      <c r="QE30" s="248" t="str">
        <f>IF($DH30="","",$DH30)</f>
        <v/>
      </c>
      <c r="QF30" s="248" t="str">
        <f>IF($DI30="","",$DI30)</f>
        <v/>
      </c>
      <c r="QG30" s="249" t="str">
        <f t="shared" ref="QG30:QG41" si="61">IF($O$8="Lv2","",IF($HM30="","",$HM30))</f>
        <v/>
      </c>
      <c r="QH30" s="249" t="str">
        <f t="shared" ref="QH30:QH41" si="62">IF($O$8="Lv2","",IF($HN30="","",$HN30))</f>
        <v/>
      </c>
      <c r="QI30" s="249" t="str">
        <f t="shared" ref="QI30:QI41" si="63">IF($O$8="Lv2","",IF($GY30="","",$GY30))</f>
        <v/>
      </c>
      <c r="QJ30" s="249" t="str">
        <f t="shared" ref="QJ30:QJ41" si="64">IF($O$8="Lv2","",IF($GZ30="","",$GZ30))</f>
        <v/>
      </c>
      <c r="QK30" s="249" t="str">
        <f t="shared" ref="QK30:QK41" si="65">IF($O$8="Lv2","",IF($HP30="","",$HP30))</f>
        <v/>
      </c>
      <c r="QL30" s="249" t="str">
        <f>IF($O$8="Lv2","",IF($JA30="","",$JA30))</f>
        <v/>
      </c>
      <c r="QM30" s="249" t="str">
        <f>IF(OR($O$8="Lv2",$O$8="Lv3",$O$8="Lv4"),IF(OR($AS30="",COUNT($PL30:$QL30)=0),"",
GuardLimitLower(
  $AS30-SUM($PL30:$QL30),
  data_GuardLimitFlag,
  0)
),"")</f>
        <v/>
      </c>
      <c r="QN30" s="249" t="str">
        <f>IF(OR($O$8="Lv2",$O$8="Lv3",$O$8="Lv4"),IF($AS30="","",$AS30),"")</f>
        <v/>
      </c>
      <c r="QO30" s="251" t="str">
        <f>IF(OR($EU30="",$C$11="",$EW30="",$AM30="",$AN30=""),"",$EU30*$C$11+$EW30)</f>
        <v/>
      </c>
      <c r="QP30" s="251" t="str">
        <f>IF(OR($EV30="",$C$11="",$EX30="",$AM30="",$AN30=""),"",$EV30*$C$11+$EX30)</f>
        <v/>
      </c>
      <c r="QQ30" s="251" t="str">
        <f>IF(OR($AM30="",$EV30="",$EU30="",$C$11="",$AN30="",$EX30="",$EW30=""),"",($AM30-$EV30-$EU30)*$C$11+($AN30-$EX30-$EW30))</f>
        <v/>
      </c>
      <c r="QR30" s="251" t="str">
        <f t="shared" ref="QR30:QR41" si="66">IF(OR($AM30="",$C$11="",$AN30="",$CA30="",$CC30="",$CB30="",$CD30="",$C$17="",$NC30=""),"",IF(OR($CA30+$CC30=0,$C$17=0,$NC30=0),0,
($AM30*$C$11+$AN30)*
GuardLimitUpper(
  ($CB30+$CD30)/(($CA30+$CC30)*$C$17),
  data_GuardLimitFlag,
  1)
/10^9/$NC30)
)</f>
        <v/>
      </c>
      <c r="QS30" s="234" t="str">
        <f t="shared" ref="QS30:QS41" si="67">IF(OR($KG30="",$KF30="",$KE30=""),"",IF($KG30+$KF30+$KE30=0,0,$KE30/($KG30+$KF30+$KE30)))</f>
        <v/>
      </c>
      <c r="QT30" s="234" t="str">
        <f t="shared" ref="QT30:QT41" si="68">IF(OR($KG30="",$KF30="",$KE30=""),"",IF($KG30+$KF30+$KE30=0,0,$KF30/($KG30+$KF30+$KE30)))</f>
        <v/>
      </c>
      <c r="QU30" s="234" t="str">
        <f t="shared" ref="QU30:QU41" si="69">IF(OR($KG30="",$KF30="",$KE30=""),"",IF($KG30+$KF30+$KE30=0,0,$KG30/($KG30+$KF30+$KE30)))</f>
        <v/>
      </c>
      <c r="QV30" s="233" t="str">
        <f t="shared" ref="QV30:QV41" si="70">IF($IC30="","",$IC30)</f>
        <v/>
      </c>
      <c r="QW30" s="233" t="str">
        <f t="shared" ref="QW30:QW41" si="71">IF($IY30="","",$IY30)</f>
        <v/>
      </c>
      <c r="QX30" s="233" t="str">
        <f t="shared" ref="QX30:QX41" si="72">IF($IZ30="","",$IZ30)</f>
        <v/>
      </c>
      <c r="QY30" s="233" t="str">
        <f t="shared" ref="QY30:QY41" si="73">IF($IW30="","",$IW30)</f>
        <v/>
      </c>
      <c r="QZ30" s="233" t="str">
        <f t="shared" ref="QZ30:QZ41" si="74">IF($IX30="","",$IX30)</f>
        <v/>
      </c>
      <c r="RA30" s="234" t="str">
        <f>IF(OR($IF30="",$IC30=""),"",IF($IC30=0,0,
GuardLimitUpper(
  $IF30/$IC30,
  data_GuardLimitFlag,
  1)
))</f>
        <v/>
      </c>
      <c r="RB30" s="234" t="str">
        <f t="shared" ref="RB30:RB41" si="75">IF(OR($IG30="",$GZ30=""),"",IF($GZ30=0,0,$IG30/$GZ30))</f>
        <v/>
      </c>
      <c r="RC30" s="234" t="str">
        <f t="shared" ref="RC30:RC41" si="76">IF(OR($JM30="",$JN30="",$JO30="",$JP30="",$JQ30="",$JR30="",$JS30=""),"",IF($JM30+$JN30+$JO30+$JP30+$JQ30+$JR30+$JS30=0,0,$JM30/($JM30+$JN30+$JO30+$JP30+$JQ30+$JR30+$JS30)))</f>
        <v/>
      </c>
      <c r="RD30" s="234" t="str">
        <f t="shared" ref="RD30:RD41" si="77">IF(OR($JM30="",$JN30="",$JO30="",$JP30="",$JQ30="",$JR30="",$JS30=""),"",IF($JM30+$JN30+$JO30+$JP30+$JQ30+$JR30+$JS30=0,0,$JN30/($JM30+$JN30+$JO30+$JP30+$JQ30+$JR30+$JS30)))</f>
        <v/>
      </c>
      <c r="RE30" s="234" t="str">
        <f t="shared" ref="RE30:RE41" si="78">IF(OR($JM30="",$JN30="",$JO30="",$JP30="",$JQ30="",$JR30="",$JS30=""),"",IF($JM30+$JN30+$JO30+$JP30+$JQ30+$JR30+$JS30=0,0,$JO30/($JM30+$JN30+$JO30+$JP30+$JQ30+$JR30+$JS30)))</f>
        <v/>
      </c>
      <c r="RF30" s="234" t="str">
        <f t="shared" ref="RF30:RF41" si="79">IF(OR($JM30="",$JN30="",$JO30="",$JP30="",$JQ30="",$JR30="",$JS30=""),"",IF($JM30+$JN30+$JO30+$JP30+$JQ30+$JR30+$JS30=0,0,$JP30/($JM30+$JN30+$JO30+$JP30+$JQ30+$JR30+$JS30)))</f>
        <v/>
      </c>
      <c r="RG30" s="234" t="str">
        <f t="shared" ref="RG30:RG41" si="80">IF(OR($JM30="",$JN30="",$JO30="",$JP30="",$JQ30="",$JR30="",$JS30=""),"",IF($JM30+$JN30+$JO30+$JP30+$JQ30+$JR30+$JS30=0,0,$JQ30/($JM30+$JN30+$JO30+$JP30+$JQ30+$JR30+$JS30)))</f>
        <v/>
      </c>
      <c r="RH30" s="234" t="str">
        <f t="shared" ref="RH30:RH41" si="81">IF(OR($JM30="",$JN30="",$JO30="",$JP30="",$JQ30="",$JR30="",$JS30=""),"",IF($JM30+$JN30+$JO30+$JP30+$JQ30+$JR30+$JS30=0,0,$JR30/($JM30+$JN30+$JO30+$JP30+$JQ30+$JR30+$JS30)))</f>
        <v/>
      </c>
      <c r="RI30" s="234" t="str">
        <f t="shared" ref="RI30:RI41" si="82">IF(OR($JM30="",$JN30="",$JO30="",$JP30="",$JQ30="",$JR30="",$JS30=""),"",IF($JM30+$JN30+$JO30+$JP30+$JQ30+$JR30+$JS30=0,0,$JS30/($JM30+$JN30+$JO30+$JP30+$JQ30+$JR30+$JS30)))</f>
        <v/>
      </c>
      <c r="RJ30" s="252" t="s">
        <v>861</v>
      </c>
      <c r="RK30" s="249" t="str">
        <f>IF(OR(COUNT($KW30:$KW41)=0,$C$8="",$NC$42=""),"",IF($NC$42=0,0,AVERAGE($KW30:$KW41)*$C$8/10^9/$NC$42))</f>
        <v/>
      </c>
      <c r="RL30" s="249" t="str">
        <f>IF(OR(COUNT($KX30:$KX41)=0,$C$8="",$NC$42=""),"",IF($NC$42=0,0,AVERAGE($KX30:$KX41)*$C$8/10^9/$NC$42))</f>
        <v/>
      </c>
      <c r="RM30" s="249" t="str">
        <f>IF(OR(COUNT($KY30:$KY41)=0,$C$8="",$NC$42=""),"",IF($NC$42=0,0,AVERAGE($KY30:$KY41)*$C$8/10^9/$NC$42))</f>
        <v/>
      </c>
      <c r="RN30" s="249" t="str">
        <f>IF(OR(COUNT($KZ30:$KZ41)=0,$C$8="",$NC$42=""),"",IF($NC$42=0,0,AVERAGE($KZ30:$KZ41)*$C$8/10^9/$NC$42))</f>
        <v/>
      </c>
      <c r="RO30" s="249" t="str">
        <f>IF(OR(COUNT($LO30:$LO41)=0,$C$8="",$NC$42=""),"",IF($NC$42=0,0,AVERAGE($LO30:$LO41)*$C$8/10^9/$NC$42))</f>
        <v/>
      </c>
      <c r="RP30" s="249" t="str">
        <f>IF(OR(COUNT($LP30:$LP41)=0,$C$8="",$NC$42=""),"",IF($NC$42=0,0,AVERAGE($LP30:$LP41)*$C$8/10^9/$NC$42))</f>
        <v/>
      </c>
      <c r="RQ30" s="249" t="str">
        <f>IF(OR(COUNT($LQ30:$LQ41)=0,$C$8="",$NC$42=""),"",IF($NC$42=0,0,AVERAGE($LQ30:$LQ41)*$C$8/10^9/$NC$42))</f>
        <v/>
      </c>
      <c r="RR30" s="249" t="str">
        <f t="shared" ref="RR30:RR41" si="83">IF($FJ30="","",IF($NC30=0,0,$FJ30*8/10^9/$NC30))</f>
        <v/>
      </c>
      <c r="RS30" s="253"/>
      <c r="RT30" s="253"/>
      <c r="RU30" s="233" t="str">
        <f>IF(OR($AK30="",$C$4=""),"",$AK30/$C$4)</f>
        <v/>
      </c>
      <c r="RV30" s="233" t="str">
        <f>IF(OR($AL30="",$AL30=""),"",IF($AL30=0,0,$AL30/$AL30))</f>
        <v/>
      </c>
      <c r="RW30" s="233" t="str">
        <f>IF(OR($BD30="",$AL30=""),"",IF($AL30=0,0,$BD30/$AL30))</f>
        <v/>
      </c>
      <c r="RX30" s="233" t="str">
        <f>IF(OR($BV30="",$AL30=""),"",IF($AL30=0,0,$BV30/$AL30))</f>
        <v/>
      </c>
      <c r="RY30" s="233" t="str">
        <f>IF(OR($CN30="",$AL30=""),"",IF($AL30=0,0,$CN30/$AL30))</f>
        <v/>
      </c>
      <c r="RZ30" s="233" t="str">
        <f t="shared" ref="RZ30:RZ41" si="84">IF(OR($DF30="",$AL30=""),"",IF($AL30=0,0,$DF30/$AL30))</f>
        <v/>
      </c>
      <c r="SA30" s="233" t="str">
        <f t="shared" ref="SA30:SA41" si="85">IF(OR($DX30="",$AL30=""),"",IF($AL30=0,0,$DX30/$AL30))</f>
        <v/>
      </c>
      <c r="SB30" s="233" t="str">
        <f t="shared" ref="SB30:SB41" si="86">IF(OR($EP30="",$AL30=""),"",IF($AL30=0,0,$EP30/$AL30))</f>
        <v/>
      </c>
      <c r="SC30" s="233" t="str">
        <f t="shared" ref="SC30:SC41" si="87">IF(OR($FH30="",$AL30=""),"",IF($AL30=0,0,$FH30/$AL30))</f>
        <v/>
      </c>
      <c r="SD30" s="233" t="str">
        <f t="shared" ref="SD30:SD41" si="88">IF(OR($FZ30="",$AL30=""),"",IF($AL30=0,0,$FZ30/$AL30))</f>
        <v/>
      </c>
      <c r="SE30" s="233" t="str">
        <f t="shared" ref="SE30:SE41" si="89">IF(OR($GR30="",$AL30=""),"",IF($AL30=0,0,$GR30/$AL30))</f>
        <v/>
      </c>
      <c r="SF30" s="233" t="str">
        <f t="shared" ref="SF30:SF41" si="90">IF(OR($HJ30="",$AL30=""),"",IF($AL30=0,0,$HJ30/$AL30))</f>
        <v/>
      </c>
      <c r="SG30" s="233" t="str">
        <f t="shared" ref="SG30:SG41" si="91">IF(OR($IB30="",$AL30=""),"",IF($AL30=0,0,$IB30/$AL30))</f>
        <v/>
      </c>
      <c r="SH30" s="233" t="str">
        <f t="shared" ref="SH30:SH41" si="92">IF(OR($JL30="",$AL30=""),"",IF($AL30=0,0,$JL30/$AL30))</f>
        <v/>
      </c>
      <c r="SI30" s="233" t="str">
        <f t="shared" ref="SI30:SI41" si="93">IF(OR($IT30="",$AL30=""),"",IF($AL30=0,0,$IT30/$AL30))</f>
        <v/>
      </c>
      <c r="SJ30" s="233" t="str">
        <f t="shared" ref="SJ30:SJ41" si="94">IF(OR($KD30="",$AL30=""),"",IF($AL30=0,0,$KD30/$AL30))</f>
        <v/>
      </c>
      <c r="SK30" s="233" t="str">
        <f t="shared" ref="SK30:SK41" si="95">IF(OR($KV30="",$AL30=""),"",IF($AL30=0,0,$KV30/$AL30))</f>
        <v/>
      </c>
      <c r="SL30" s="233" t="str">
        <f t="shared" ref="SL30:SL41" si="96">IF(OR($LN30="",$AL30=""),"",IF($AL30=0,0,$LN30/$AL30))</f>
        <v/>
      </c>
      <c r="SM30" s="254" t="str">
        <f>IF($AJ30="","",$AJ30)</f>
        <v/>
      </c>
      <c r="SN30" s="255" t="str">
        <f t="shared" ref="SN30:SN41" si="97">IF(OR($NC30="",$SM30=""),"",IF($SM30=0,0,$NC30/$SM30))</f>
        <v/>
      </c>
      <c r="SO30" s="234" t="str">
        <f>IF(OR($OI30="",$OC30="",COUNT($OI$30:$OI$41)=0),"",IF(MAX($OI$30:$OI$41)=0,0,($OI30-$OC30)/MAX($OI$30:$OI$41)))</f>
        <v/>
      </c>
      <c r="SP30" s="234" t="str">
        <f>IF(OR($NH30="",COUNT($NH$30:$NH$41)=0),"",IF(MAX($NH$30:$NH$41)=0,0,$NH30/MAX($NH$30:$NH$41)))</f>
        <v/>
      </c>
      <c r="SQ30" s="249" t="str">
        <f>IF($AL30="","",$AL30)</f>
        <v/>
      </c>
      <c r="SR30" s="249" t="str">
        <f>IF($BD30="","",$BD30)</f>
        <v/>
      </c>
      <c r="SS30" s="249" t="str">
        <f>IF($BV30="","",$BV30)</f>
        <v/>
      </c>
      <c r="ST30" s="249" t="str">
        <f>IF($CN30="","",$CN30)</f>
        <v/>
      </c>
      <c r="SU30" s="249" t="str">
        <f>IF($DF30="","",$DF30)</f>
        <v/>
      </c>
      <c r="SV30" s="249" t="str">
        <f>IF($DX30="","",$DX30)</f>
        <v/>
      </c>
      <c r="SW30" s="249" t="str">
        <f>IF($EP30="","",$EP30)</f>
        <v/>
      </c>
      <c r="SX30" s="249" t="str">
        <f>IF($FH30="","",$FH30)</f>
        <v/>
      </c>
      <c r="SY30" s="249" t="str">
        <f>IF($FZ30="","",$FZ30)</f>
        <v/>
      </c>
      <c r="SZ30" s="249" t="str">
        <f>IF($GR30="","",$GR30)</f>
        <v/>
      </c>
      <c r="TA30" s="249" t="str">
        <f>IF($HJ30="","",$HJ30)</f>
        <v/>
      </c>
      <c r="TB30" s="249" t="str">
        <f>IF($IB30="","",$IB30)</f>
        <v/>
      </c>
      <c r="TC30" s="249" t="str">
        <f t="shared" ref="TC30:TC41" si="98">IF($JL30="","",$JL30)</f>
        <v/>
      </c>
      <c r="TD30" s="249" t="str">
        <f>IF($IT30="","",$IT30)</f>
        <v/>
      </c>
      <c r="TE30" s="249" t="str">
        <f>IF($KD30="","",$KD30)</f>
        <v/>
      </c>
      <c r="TF30" s="249" t="str">
        <f>IF($KV30="","",$KV30)</f>
        <v/>
      </c>
      <c r="TG30" s="249" t="str">
        <f>IF($LN30="","",$LN30)</f>
        <v/>
      </c>
      <c r="TK30" s="389"/>
      <c r="TL30" s="390" t="s">
        <v>829</v>
      </c>
      <c r="TM30" s="390" t="s">
        <v>830</v>
      </c>
      <c r="TN30" s="390" t="s">
        <v>831</v>
      </c>
      <c r="TQ30" s="391"/>
      <c r="TR30" s="330" t="s">
        <v>1707</v>
      </c>
      <c r="TS30" s="330" t="s">
        <v>1708</v>
      </c>
      <c r="TT30" s="330" t="s">
        <v>1709</v>
      </c>
      <c r="TU30" s="330" t="s">
        <v>1710</v>
      </c>
      <c r="TV30" s="330" t="s">
        <v>1711</v>
      </c>
      <c r="UC30" s="391"/>
      <c r="UD30" s="330" t="s">
        <v>1517</v>
      </c>
      <c r="UE30" s="330" t="s">
        <v>1518</v>
      </c>
      <c r="UF30" s="330" t="s">
        <v>1519</v>
      </c>
      <c r="UG30" s="330" t="s">
        <v>1520</v>
      </c>
      <c r="UH30" s="330" t="s">
        <v>1521</v>
      </c>
      <c r="VA30" s="392"/>
      <c r="VB30" s="393" t="s">
        <v>833</v>
      </c>
      <c r="VC30" s="393" t="s">
        <v>1703</v>
      </c>
      <c r="VD30" s="393" t="s">
        <v>1704</v>
      </c>
      <c r="VE30" s="393" t="s">
        <v>1705</v>
      </c>
      <c r="VF30" s="393" t="s">
        <v>1706</v>
      </c>
      <c r="VH30" s="414"/>
      <c r="VI30" s="394"/>
      <c r="VJ30" s="393" t="s">
        <v>834</v>
      </c>
      <c r="VK30" s="393" t="s">
        <v>835</v>
      </c>
      <c r="VL30" s="414"/>
      <c r="VM30" s="396"/>
      <c r="VN30" s="388" t="s">
        <v>836</v>
      </c>
      <c r="VO30" s="388" t="s">
        <v>1727</v>
      </c>
      <c r="VQ30" s="396"/>
      <c r="VR30" s="388" t="s">
        <v>837</v>
      </c>
      <c r="VS30" s="388" t="s">
        <v>838</v>
      </c>
      <c r="VT30" s="388" t="s">
        <v>839</v>
      </c>
      <c r="VV30" s="396"/>
      <c r="VW30" s="397" t="s">
        <v>840</v>
      </c>
      <c r="VX30" s="398" t="s">
        <v>841</v>
      </c>
      <c r="VY30" s="399" t="s">
        <v>842</v>
      </c>
      <c r="WC30" s="270"/>
      <c r="WD30" s="270"/>
      <c r="WE30" s="270"/>
      <c r="WF30" s="270"/>
      <c r="WG30" s="270"/>
      <c r="WH30" s="270"/>
      <c r="WI30" s="270"/>
      <c r="WJ30" s="270"/>
      <c r="WK30" s="270"/>
      <c r="WL30" s="270"/>
      <c r="WM30" s="270"/>
      <c r="WN30" s="270"/>
      <c r="WO30" s="270"/>
      <c r="WP30" s="270"/>
      <c r="WQ30" s="270"/>
      <c r="WR30" s="270"/>
      <c r="WS30" s="270"/>
    </row>
    <row r="31" spans="2:617" x14ac:dyDescent="0.25">
      <c r="AB31" s="287">
        <v>1</v>
      </c>
      <c r="AC31" s="637"/>
      <c r="AD31" s="637"/>
      <c r="AE31" s="637"/>
      <c r="AF31" s="637"/>
      <c r="AG31" s="637"/>
      <c r="AH31" s="637"/>
      <c r="AI31" s="637"/>
      <c r="AJ31" s="637"/>
      <c r="AK31" s="638"/>
      <c r="AL31" s="638"/>
      <c r="AM31" s="637"/>
      <c r="AN31" s="637"/>
      <c r="AO31" s="637"/>
      <c r="AP31" s="637"/>
      <c r="AQ31" s="639"/>
      <c r="AR31" s="639"/>
      <c r="AS31" s="638"/>
      <c r="AT31" s="638"/>
      <c r="AU31" s="637"/>
      <c r="AV31" s="637"/>
      <c r="AW31" s="637"/>
      <c r="AX31" s="637"/>
      <c r="AY31" s="637"/>
      <c r="AZ31" s="637"/>
      <c r="BA31" s="637"/>
      <c r="BB31" s="637"/>
      <c r="BC31" s="637"/>
      <c r="BD31" s="637"/>
      <c r="BE31" s="637"/>
      <c r="BF31" s="639"/>
      <c r="BG31" s="637"/>
      <c r="BH31" s="639"/>
      <c r="BI31" s="637"/>
      <c r="BJ31" s="637"/>
      <c r="BK31" s="637"/>
      <c r="BL31" s="637"/>
      <c r="BM31" s="637"/>
      <c r="BN31" s="637"/>
      <c r="BO31" s="637"/>
      <c r="BP31" s="637"/>
      <c r="BQ31" s="637"/>
      <c r="BR31" s="637"/>
      <c r="BS31" s="637"/>
      <c r="BT31" s="637"/>
      <c r="BU31" s="637"/>
      <c r="BV31" s="637"/>
      <c r="BW31" s="638"/>
      <c r="BX31" s="638"/>
      <c r="BY31" s="637"/>
      <c r="BZ31" s="637"/>
      <c r="CA31" s="637"/>
      <c r="CB31" s="637"/>
      <c r="CC31" s="637"/>
      <c r="CD31" s="637"/>
      <c r="CE31" s="637"/>
      <c r="CF31" s="637"/>
      <c r="CG31" s="637"/>
      <c r="CH31" s="637"/>
      <c r="CI31" s="637"/>
      <c r="CJ31" s="637"/>
      <c r="CK31" s="637"/>
      <c r="CL31" s="637"/>
      <c r="CM31" s="637"/>
      <c r="CN31" s="637"/>
      <c r="CO31" s="637"/>
      <c r="CP31" s="637"/>
      <c r="CQ31" s="637"/>
      <c r="CR31" s="637"/>
      <c r="CS31" s="637"/>
      <c r="CT31" s="637"/>
      <c r="CU31" s="637"/>
      <c r="CV31" s="637"/>
      <c r="CW31" s="637"/>
      <c r="CX31" s="637"/>
      <c r="CY31" s="637"/>
      <c r="CZ31" s="637"/>
      <c r="DA31" s="637"/>
      <c r="DB31" s="637"/>
      <c r="DC31" s="637"/>
      <c r="DD31" s="637"/>
      <c r="DE31" s="637"/>
      <c r="DF31" s="640"/>
      <c r="DG31" s="637"/>
      <c r="DH31" s="637"/>
      <c r="DI31" s="637"/>
      <c r="DJ31" s="637"/>
      <c r="DK31" s="637"/>
      <c r="DL31" s="637"/>
      <c r="DM31" s="637"/>
      <c r="DN31" s="637"/>
      <c r="DO31" s="639"/>
      <c r="DP31" s="639"/>
      <c r="DQ31" s="639"/>
      <c r="DR31" s="639"/>
      <c r="DS31" s="639"/>
      <c r="DT31" s="639"/>
      <c r="DU31" s="639"/>
      <c r="DV31" s="639"/>
      <c r="DW31" s="639"/>
      <c r="DX31" s="639"/>
      <c r="DY31" s="639"/>
      <c r="DZ31" s="639"/>
      <c r="EA31" s="639"/>
      <c r="EB31" s="637"/>
      <c r="EC31" s="639"/>
      <c r="ED31" s="639"/>
      <c r="EE31" s="639"/>
      <c r="EF31" s="639"/>
      <c r="EG31" s="639"/>
      <c r="EH31" s="639"/>
      <c r="EI31" s="639"/>
      <c r="EJ31" s="639"/>
      <c r="EK31" s="639"/>
      <c r="EL31" s="639"/>
      <c r="EM31" s="639"/>
      <c r="EN31" s="639"/>
      <c r="EO31" s="639"/>
      <c r="EP31" s="639"/>
      <c r="EQ31" s="639"/>
      <c r="ER31" s="639"/>
      <c r="ES31" s="637"/>
      <c r="ET31" s="639"/>
      <c r="EU31" s="639"/>
      <c r="EV31" s="639"/>
      <c r="EW31" s="639"/>
      <c r="EX31" s="639"/>
      <c r="EY31" s="639"/>
      <c r="EZ31" s="639"/>
      <c r="FA31" s="639"/>
      <c r="FB31" s="639"/>
      <c r="FC31" s="639"/>
      <c r="FD31" s="639"/>
      <c r="FE31" s="639"/>
      <c r="FF31" s="639"/>
      <c r="FG31" s="639"/>
      <c r="FH31" s="639"/>
      <c r="FI31" s="639"/>
      <c r="FJ31" s="639"/>
      <c r="FK31" s="639"/>
      <c r="FL31" s="639"/>
      <c r="FM31" s="639"/>
      <c r="FN31" s="639"/>
      <c r="FO31" s="637"/>
      <c r="FP31" s="637"/>
      <c r="FQ31" s="639"/>
      <c r="FR31" s="639"/>
      <c r="FS31" s="639"/>
      <c r="FT31" s="639"/>
      <c r="FU31" s="639"/>
      <c r="FV31" s="639"/>
      <c r="FW31" s="639"/>
      <c r="FX31" s="639"/>
      <c r="FY31" s="639"/>
      <c r="FZ31" s="639"/>
      <c r="GA31" s="639"/>
      <c r="GB31" s="639"/>
      <c r="GC31" s="639"/>
      <c r="GD31" s="639"/>
      <c r="GE31" s="639"/>
      <c r="GF31" s="639"/>
      <c r="GG31" s="639"/>
      <c r="GH31" s="639"/>
      <c r="GI31" s="639"/>
      <c r="GJ31" s="639"/>
      <c r="GK31" s="639"/>
      <c r="GL31" s="639"/>
      <c r="GM31" s="639"/>
      <c r="GN31" s="639"/>
      <c r="GO31" s="639"/>
      <c r="GP31" s="639"/>
      <c r="GQ31" s="639"/>
      <c r="GR31" s="639"/>
      <c r="GS31" s="639"/>
      <c r="GT31" s="639"/>
      <c r="GU31" s="639"/>
      <c r="GV31" s="639"/>
      <c r="GW31" s="639"/>
      <c r="GX31" s="639"/>
      <c r="GY31" s="639"/>
      <c r="GZ31" s="639"/>
      <c r="HA31" s="639"/>
      <c r="HB31" s="639"/>
      <c r="HC31" s="639"/>
      <c r="HD31" s="639"/>
      <c r="HE31" s="639"/>
      <c r="HF31" s="639"/>
      <c r="HG31" s="639"/>
      <c r="HH31" s="639"/>
      <c r="HI31" s="639"/>
      <c r="HJ31" s="639"/>
      <c r="HK31" s="639"/>
      <c r="HL31" s="639"/>
      <c r="HM31" s="639"/>
      <c r="HN31" s="639"/>
      <c r="HO31" s="639"/>
      <c r="HP31" s="639"/>
      <c r="HQ31" s="639"/>
      <c r="HR31" s="639"/>
      <c r="HS31" s="639"/>
      <c r="HT31" s="639"/>
      <c r="HU31" s="639"/>
      <c r="HV31" s="639"/>
      <c r="HW31" s="639"/>
      <c r="HX31" s="639"/>
      <c r="HY31" s="639"/>
      <c r="HZ31" s="639"/>
      <c r="IA31" s="639"/>
      <c r="IB31" s="639"/>
      <c r="IC31" s="639"/>
      <c r="ID31" s="639"/>
      <c r="IE31" s="639"/>
      <c r="IF31" s="639"/>
      <c r="IG31" s="639"/>
      <c r="IH31" s="639"/>
      <c r="II31" s="639"/>
      <c r="IJ31" s="639"/>
      <c r="IK31" s="639"/>
      <c r="IL31" s="639"/>
      <c r="IM31" s="639"/>
      <c r="IN31" s="639"/>
      <c r="IO31" s="639"/>
      <c r="IP31" s="639"/>
      <c r="IQ31" s="639"/>
      <c r="IR31" s="639"/>
      <c r="IS31" s="639"/>
      <c r="IT31" s="639"/>
      <c r="IU31" s="639"/>
      <c r="IV31" s="639"/>
      <c r="IW31" s="639"/>
      <c r="IX31" s="639"/>
      <c r="IY31" s="639"/>
      <c r="IZ31" s="639"/>
      <c r="JA31" s="639"/>
      <c r="JB31" s="639"/>
      <c r="JC31" s="639"/>
      <c r="JD31" s="639"/>
      <c r="JE31" s="639"/>
      <c r="JF31" s="639"/>
      <c r="JG31" s="639"/>
      <c r="JH31" s="639"/>
      <c r="JI31" s="639"/>
      <c r="JJ31" s="639"/>
      <c r="JK31" s="639"/>
      <c r="JL31" s="639"/>
      <c r="JM31" s="639"/>
      <c r="JN31" s="639"/>
      <c r="JO31" s="639"/>
      <c r="JP31" s="639"/>
      <c r="JQ31" s="639"/>
      <c r="JR31" s="639"/>
      <c r="JS31" s="639"/>
      <c r="JT31" s="639"/>
      <c r="JU31" s="639"/>
      <c r="JV31" s="639"/>
      <c r="JW31" s="639"/>
      <c r="JX31" s="639"/>
      <c r="JY31" s="639"/>
      <c r="JZ31" s="639"/>
      <c r="KA31" s="639"/>
      <c r="KB31" s="639"/>
      <c r="KC31" s="639"/>
      <c r="KD31" s="639"/>
      <c r="KE31" s="639"/>
      <c r="KF31" s="639"/>
      <c r="KG31" s="639"/>
      <c r="KH31" s="639"/>
      <c r="KI31" s="639"/>
      <c r="KJ31" s="639"/>
      <c r="KK31" s="639"/>
      <c r="KL31" s="639"/>
      <c r="KM31" s="639"/>
      <c r="KN31" s="639"/>
      <c r="KO31" s="639"/>
      <c r="KP31" s="639"/>
      <c r="KQ31" s="639"/>
      <c r="KR31" s="639"/>
      <c r="KS31" s="639"/>
      <c r="KT31" s="639"/>
      <c r="KU31" s="639"/>
      <c r="KV31" s="639"/>
      <c r="KW31" s="639"/>
      <c r="KX31" s="639"/>
      <c r="KY31" s="639"/>
      <c r="KZ31" s="639"/>
      <c r="LA31" s="639"/>
      <c r="LB31" s="639"/>
      <c r="LC31" s="639"/>
      <c r="LD31" s="639"/>
      <c r="LE31" s="639"/>
      <c r="LF31" s="639"/>
      <c r="LG31" s="639"/>
      <c r="LH31" s="639"/>
      <c r="LI31" s="639"/>
      <c r="LJ31" s="639"/>
      <c r="LK31" s="639"/>
      <c r="LL31" s="639"/>
      <c r="LM31" s="639"/>
      <c r="LN31" s="639"/>
      <c r="LO31" s="639"/>
      <c r="LP31" s="639"/>
      <c r="LQ31" s="639"/>
      <c r="LR31" s="639"/>
      <c r="LS31" s="639"/>
      <c r="LT31" s="639"/>
      <c r="LU31" s="639"/>
      <c r="LV31" s="639"/>
      <c r="MC31" s="299" t="s">
        <v>863</v>
      </c>
      <c r="MD31" s="417"/>
      <c r="ME31" s="418"/>
      <c r="MF31" s="418"/>
      <c r="MG31" s="418"/>
      <c r="MH31" s="418"/>
      <c r="MI31" s="418"/>
      <c r="MJ31" s="418"/>
      <c r="MK31" s="418"/>
      <c r="ML31" s="418"/>
      <c r="MM31" s="418"/>
      <c r="MN31" s="418"/>
      <c r="MO31" s="418"/>
      <c r="MP31" s="418"/>
      <c r="MQ31" s="418"/>
      <c r="MR31" s="418"/>
      <c r="MS31" s="418"/>
      <c r="MT31" s="419"/>
      <c r="NA31" s="470" t="str">
        <f t="shared" ref="NA31:NA41" si="99">IF(AF31="","",$AF31)</f>
        <v/>
      </c>
      <c r="NB31" s="470" t="str">
        <f t="shared" ref="NB31:NB41" si="100">IF($AG31="","",$AG31)</f>
        <v/>
      </c>
      <c r="NC31" s="232" t="str">
        <f t="shared" ref="NC31:NC41" si="101">IF(OR($AK31="",$C$4=""),"",$AK31/$C$4)</f>
        <v/>
      </c>
      <c r="ND31" s="233" t="str">
        <f t="shared" ref="ND31:ND40" si="102">IF(OR($NI31="",$NC31=""),"",IF($NC31=0,0,$NI31/10^9/$NC31))</f>
        <v/>
      </c>
      <c r="NE31" s="234" t="str">
        <f t="shared" si="14"/>
        <v/>
      </c>
      <c r="NF31" s="233" t="str">
        <f t="shared" si="15"/>
        <v/>
      </c>
      <c r="NG31" s="235"/>
      <c r="NH31" s="236" t="str">
        <f t="shared" ref="NH31:NH41" si="103">IF($AS31="","",$AS31)</f>
        <v/>
      </c>
      <c r="NI31" s="233" t="str">
        <f t="shared" si="16"/>
        <v/>
      </c>
      <c r="NJ31" s="237" t="str">
        <f t="shared" ref="NJ31:NJ41" si="104">IF(OR($AT31="",$AS31=""),"",IF($AS31=0,0,$AT31/$AS31))</f>
        <v/>
      </c>
      <c r="NK31" s="238" t="str">
        <f t="shared" ref="NK31:NK41" si="105">IF(OR($AM31="",$C$11="",$AN31=""),"",IF($AM31*$C$11+$AN31=0,0,$AM31*$C$11/($AM31*$C$11+$AN31)))</f>
        <v/>
      </c>
      <c r="NL31" s="239" t="str">
        <f t="shared" si="17"/>
        <v/>
      </c>
      <c r="NM31" s="240" t="str">
        <f t="shared" ref="NM31:NM41" si="106">IF(OR($AS31="",$AL31=""),"",IF($AL31=0,0,$AS31/$AL31))</f>
        <v/>
      </c>
      <c r="NN31" s="240" t="str">
        <f t="shared" si="18"/>
        <v/>
      </c>
      <c r="NO31" s="241" t="str">
        <f t="shared" si="19"/>
        <v/>
      </c>
      <c r="NP31" s="242" t="str">
        <f t="shared" ref="NP31:NP41" si="107">IF($O$5="Lv2","",IF(OR($EE31="",$BD31="",$NC31=""),"",IF($BD31=0,0,($EE31)/$BD31*$NC31)))</f>
        <v/>
      </c>
      <c r="NQ31" s="241" t="str">
        <f t="shared" ref="NQ31:NQ41" si="108">IF($O$5="Lv2","",IF(OR($EC31="",$BD31="",$NC31=""),"",IF($BD31=0,0,$EC31/$BD31*$NC31)))</f>
        <v/>
      </c>
      <c r="NR31" s="241" t="str">
        <f t="shared" ref="NR31:NR41" si="109">IF($O$5="Lv2","",IF(OR($EB31="",$EC31="",$BD31="",$NC31=""),"",IF($BD31=0,0,($EB31-$EC31)/$BD31*$NC31)))</f>
        <v/>
      </c>
      <c r="NS31" s="241" t="str">
        <f t="shared" si="20"/>
        <v/>
      </c>
      <c r="NT31" s="241" t="str">
        <f t="shared" si="21"/>
        <v/>
      </c>
      <c r="NU31" s="241" t="str">
        <f t="shared" si="22"/>
        <v/>
      </c>
      <c r="NV31" s="241" t="str">
        <f t="shared" ref="NV31:NV41" si="110">IF($O$5="Lv2","",IF(OR($BG31="",$EB31="",$DZ31="",$BH31="",$NT31="",$BD31="",$NC31=""),"",IF(OR($BD31=0,$NC31=0),0,
GuardLimitLower(
  ($BG31-($EB31+$DZ31+$BH31+$NT31*$BD31/$NC31))/$BD31*$NC31,
  data_GuardLimitFlag,
  0)
)))</f>
        <v/>
      </c>
      <c r="NW31" s="241" t="str">
        <f t="shared" si="23"/>
        <v/>
      </c>
      <c r="NX31" s="241" t="str">
        <f t="shared" si="24"/>
        <v/>
      </c>
      <c r="NY31" s="241" t="str">
        <f t="shared" si="25"/>
        <v/>
      </c>
      <c r="NZ31" s="241" t="str">
        <f t="shared" si="26"/>
        <v/>
      </c>
      <c r="OA31" s="241" t="str">
        <f t="shared" si="27"/>
        <v/>
      </c>
      <c r="OB31" s="241" t="str">
        <f t="shared" si="28"/>
        <v/>
      </c>
      <c r="OC31" s="241" t="str">
        <f t="shared" si="29"/>
        <v/>
      </c>
      <c r="OD31" s="241" t="str">
        <f t="shared" si="30"/>
        <v/>
      </c>
      <c r="OE31" s="241" t="str">
        <f t="shared" si="31"/>
        <v/>
      </c>
      <c r="OF31" s="241" t="str">
        <f t="shared" si="32"/>
        <v/>
      </c>
      <c r="OG31" s="241" t="str">
        <f t="shared" si="33"/>
        <v/>
      </c>
      <c r="OH31" s="241" t="str">
        <f t="shared" si="34"/>
        <v/>
      </c>
      <c r="OI31" s="241" t="str">
        <f t="shared" ref="OI31:OI41" si="111">IF($NQ$25="","",IF($NC31=0,"",$NC31))</f>
        <v/>
      </c>
      <c r="OJ31" s="244" t="str">
        <f t="shared" ref="OJ31:OJ41" si="112">IF(OR($CA31="",$BV31=""),"",IF($BV31=0,0,$CA31/$BV31))</f>
        <v/>
      </c>
      <c r="OK31" s="244" t="str">
        <f t="shared" ref="OK31:OK41" si="113">IF(OR($CC31="",$BV31=""),"",IF($BV31=0,0,$CC31/$BV31))</f>
        <v/>
      </c>
      <c r="OL31" s="244" t="str">
        <f t="shared" ref="OL31:OL41" si="114">IF(OR($FO31="",$FH31=""),"",IF($FH31=0,0,$FO31/$FH31))</f>
        <v/>
      </c>
      <c r="OM31" s="244" t="str">
        <f t="shared" ref="OM31:OM41" si="115">IF(OR($FP31="",$FH31=""),"",IF($FH31=0,0,$FP31/$FH31))</f>
        <v/>
      </c>
      <c r="ON31" s="243" t="str">
        <f t="shared" si="35"/>
        <v/>
      </c>
      <c r="OO31" s="235"/>
      <c r="OP31" s="235"/>
      <c r="OQ31" s="244" t="str">
        <f t="shared" ref="OQ31:OQ41" si="116">IF(OR($FM31="",$FH31=""),"",IF($FH31=0,0,$FM31/$FH31))</f>
        <v/>
      </c>
      <c r="OR31" s="244" t="str">
        <f t="shared" ref="OR31:OR41" si="117">IF(OR($FN31="",$FH31=""),"",IF($FH31=0,0,$FN31/$FH31))</f>
        <v/>
      </c>
      <c r="OS31" s="250" t="str">
        <f t="shared" si="36"/>
        <v/>
      </c>
      <c r="OT31" s="250" t="str">
        <f t="shared" si="37"/>
        <v/>
      </c>
      <c r="OU31" s="245" t="str">
        <f t="shared" si="38"/>
        <v/>
      </c>
      <c r="OV31" s="245" t="str">
        <f t="shared" si="39"/>
        <v/>
      </c>
      <c r="OW31" s="234" t="str">
        <f t="shared" ref="OW31:OW41" si="118">IF(OR($BZ31="",$BV31=""),"",IF($BV31=0,0,$BZ31/$BV31))</f>
        <v/>
      </c>
      <c r="OX31" s="246" t="str">
        <f t="shared" si="40"/>
        <v/>
      </c>
      <c r="OY31" s="233" t="str">
        <f t="shared" ref="OY31:OY41" si="119">IF(OR($DJ31="",$DK31=""),"",$DJ31+$DK31)</f>
        <v/>
      </c>
      <c r="OZ31" s="233" t="str">
        <f t="shared" si="41"/>
        <v/>
      </c>
      <c r="PA31" s="234" t="str">
        <f t="shared" ref="PA31:PA40" si="120">IF(OR($OZ31="",$OY31=""),"",IF($OY31=0,0,$OZ31/$OY31))</f>
        <v/>
      </c>
      <c r="PB31" s="234" t="str">
        <f>IF(OR($CQ31="",$OZ31=""),"",IF($OZ31=0,0,
GuardLimitUpper(
  ($OZ31-$CQ31)/$OZ31,
  data_GuardLimitFlag,
  1)
))</f>
        <v/>
      </c>
      <c r="PC31" s="234" t="str">
        <f t="shared" si="42"/>
        <v/>
      </c>
      <c r="PD31" s="234" t="str">
        <f t="shared" si="43"/>
        <v/>
      </c>
      <c r="PE31" s="233" t="str">
        <f t="shared" ref="PE31:PE41" si="121">IF($OY$25="","",IF(OR($AO31="",$AQ31="",$AR31=""),"",$AO31-$AQ31-$AR31))</f>
        <v/>
      </c>
      <c r="PF31" s="234" t="str">
        <f t="shared" ref="PF31:PF41" si="122">IF(OR($PE31="",$OY31=""),"",IF($OY31=0,0,$PE31/$OY31))</f>
        <v/>
      </c>
      <c r="PG31" s="234" t="str">
        <f t="shared" si="44"/>
        <v/>
      </c>
      <c r="PH31" s="234" t="str">
        <f t="shared" si="45"/>
        <v/>
      </c>
      <c r="PI31" s="234" t="str">
        <f t="shared" si="46"/>
        <v/>
      </c>
      <c r="PJ31" s="247" t="str">
        <f t="shared" si="47"/>
        <v/>
      </c>
      <c r="PK31" s="247" t="str">
        <f t="shared" si="48"/>
        <v/>
      </c>
      <c r="PL31" s="248" t="str">
        <f t="shared" ref="PL31:PL41" si="123">IF($O$8="Lv2",  IF($DL31="","",IF($CT31="",$DL31,
GuardLimitLower(
  $DL31-$CT31,
  data_GuardLimitFlag,
  0)
)),
                               IF(OR($DL31="",$HQ31="",$GS31="",$HR31="",$HK31="",$CT31="",$GU31=""),"",
GuardLimitLower(
  ($DL31-$HQ31)-($GS31+$HR31+$HK31+$CT31+$GU31),
  data_GuardLimitFlag,
  0)
))</f>
        <v/>
      </c>
      <c r="PM31" s="248" t="str">
        <f t="shared" si="49"/>
        <v/>
      </c>
      <c r="PN31" s="248" t="str">
        <f t="shared" ref="PN31:PN41" si="124">IF($CT31="","",$CT31)</f>
        <v/>
      </c>
      <c r="PO31" s="248" t="str">
        <f t="shared" si="50"/>
        <v/>
      </c>
      <c r="PP31" s="566" t="str">
        <f t="shared" si="51"/>
        <v/>
      </c>
      <c r="PQ31" s="581" t="str">
        <f t="shared" ref="PQ31:PQ41" si="125">IF($O$8="Lv2","",IF($IU31="","",$IU31))</f>
        <v/>
      </c>
      <c r="PR31" s="566" t="str">
        <f t="shared" si="52"/>
        <v/>
      </c>
      <c r="PS31" s="248" t="str">
        <f t="shared" si="53"/>
        <v/>
      </c>
      <c r="PT31" s="248" t="str">
        <f t="shared" ref="PT31:PT41" si="126">IF($O$8="Lv2",  IF($DM31="","",IF($CU31="",$DM31,
GuardLimitLower(
  $DM31-$CU31,
  data_GuardLimitFlag,
  0)
)),
                               IF(OR($DM31="",$HO31="",$GT31="",$HL31="",$CU31=""),"",
GuardLimitLower(
  ($DM31-$HO31)-($GT31+$HL31+$CU31),
  data_GuardLimitFlag,
  0)
))</f>
        <v/>
      </c>
      <c r="PU31" s="248" t="str">
        <f t="shared" si="54"/>
        <v/>
      </c>
      <c r="PV31" s="248" t="str">
        <f t="shared" ref="PV31:PV41" si="127">IF($CU31="","",$CU31)</f>
        <v/>
      </c>
      <c r="PW31" s="566" t="str">
        <f t="shared" si="55"/>
        <v/>
      </c>
      <c r="PX31" s="566" t="str">
        <f>IF($O$8="Lv2","",IF($IV31="","",$IV31))</f>
        <v/>
      </c>
      <c r="PY31" s="566" t="str">
        <f t="shared" si="56"/>
        <v/>
      </c>
      <c r="PZ31" s="248" t="str">
        <f t="shared" si="57"/>
        <v/>
      </c>
      <c r="QA31" s="248" t="str">
        <f t="shared" si="58"/>
        <v/>
      </c>
      <c r="QB31" s="248" t="str">
        <f t="shared" si="59"/>
        <v/>
      </c>
      <c r="QC31" s="248" t="str">
        <f t="shared" si="60"/>
        <v/>
      </c>
      <c r="QD31" s="248" t="str">
        <f t="shared" ref="QD31:QD41" si="128">IF(OR($DG31="",$DH31="",$DI31=""),"",$DG31-($DH31+$DI31))</f>
        <v/>
      </c>
      <c r="QE31" s="248" t="str">
        <f t="shared" ref="QE31:QE41" si="129">IF($DH31="","",$DH31)</f>
        <v/>
      </c>
      <c r="QF31" s="248" t="str">
        <f t="shared" ref="QF31:QF41" si="130">IF($DI31="","",$DI31)</f>
        <v/>
      </c>
      <c r="QG31" s="249" t="str">
        <f t="shared" si="61"/>
        <v/>
      </c>
      <c r="QH31" s="249" t="str">
        <f t="shared" si="62"/>
        <v/>
      </c>
      <c r="QI31" s="249" t="str">
        <f t="shared" si="63"/>
        <v/>
      </c>
      <c r="QJ31" s="249" t="str">
        <f t="shared" si="64"/>
        <v/>
      </c>
      <c r="QK31" s="249" t="str">
        <f t="shared" si="65"/>
        <v/>
      </c>
      <c r="QL31" s="249" t="str">
        <f t="shared" ref="QL31:QL41" si="131">IF($O$8="Lv2","",IF($JA31="","",$JA31))</f>
        <v/>
      </c>
      <c r="QM31" s="249" t="str">
        <f>IF(OR($O$8="Lv2",$O$8="Lv3",$O$8="Lv4"),IF(OR($AS31="",COUNT($PL31:$QL31)=0),"",
GuardLimitLower(
  $AS31-SUM($PL31:$QL31),
  data_GuardLimitFlag,
  0)
),"")</f>
        <v/>
      </c>
      <c r="QN31" s="249" t="str">
        <f t="shared" ref="QN31:QN41" si="132">IF(OR($O$8="Lv2",$O$8="Lv3",$O$8="Lv4"),IF($AS31="","",$AS31),"")</f>
        <v/>
      </c>
      <c r="QO31" s="251" t="str">
        <f t="shared" ref="QO31:QO41" si="133">IF(OR($EU31="",$C$11="",$EW31="",$AM31="",$AN31=""),"",$EU31*$C$11+$EW31)</f>
        <v/>
      </c>
      <c r="QP31" s="251" t="str">
        <f t="shared" ref="QP31:QP41" si="134">IF(OR($EV31="",$C$11="",$EX31="",$AM31="",$AN31=""),"",$EV31*$C$11+$EX31)</f>
        <v/>
      </c>
      <c r="QQ31" s="251" t="str">
        <f t="shared" ref="QQ31:QQ41" si="135">IF(OR($AM31="",$EV31="",$EU31="",$C$11="",$AN31="",$EX31="",$EW31=""),"",($AM31-$EV31-$EU31)*$C$11+($AN31-$EX31-$EW31))</f>
        <v/>
      </c>
      <c r="QR31" s="251" t="str">
        <f t="shared" si="66"/>
        <v/>
      </c>
      <c r="QS31" s="234" t="str">
        <f t="shared" si="67"/>
        <v/>
      </c>
      <c r="QT31" s="234" t="str">
        <f t="shared" si="68"/>
        <v/>
      </c>
      <c r="QU31" s="234" t="str">
        <f t="shared" si="69"/>
        <v/>
      </c>
      <c r="QV31" s="233" t="str">
        <f t="shared" si="70"/>
        <v/>
      </c>
      <c r="QW31" s="233" t="str">
        <f t="shared" si="71"/>
        <v/>
      </c>
      <c r="QX31" s="233" t="str">
        <f t="shared" si="72"/>
        <v/>
      </c>
      <c r="QY31" s="233" t="str">
        <f t="shared" si="73"/>
        <v/>
      </c>
      <c r="QZ31" s="233" t="str">
        <f t="shared" si="74"/>
        <v/>
      </c>
      <c r="RA31" s="234" t="str">
        <f t="shared" ref="RA31:RA41" si="136">IF(OR($IF31="",$IC31=""),"",IF($IC31=0,0,
GuardLimitUpper(
  $IF31/$IC31,
  data_GuardLimitFlag,
  1)
))</f>
        <v/>
      </c>
      <c r="RB31" s="234" t="str">
        <f t="shared" si="75"/>
        <v/>
      </c>
      <c r="RC31" s="234" t="str">
        <f t="shared" si="76"/>
        <v/>
      </c>
      <c r="RD31" s="234" t="str">
        <f t="shared" si="77"/>
        <v/>
      </c>
      <c r="RE31" s="234" t="str">
        <f t="shared" si="78"/>
        <v/>
      </c>
      <c r="RF31" s="234" t="str">
        <f t="shared" si="79"/>
        <v/>
      </c>
      <c r="RG31" s="234" t="str">
        <f t="shared" si="80"/>
        <v/>
      </c>
      <c r="RH31" s="234" t="str">
        <f t="shared" si="81"/>
        <v/>
      </c>
      <c r="RI31" s="234" t="str">
        <f t="shared" si="82"/>
        <v/>
      </c>
      <c r="RJ31" s="252" t="s">
        <v>75</v>
      </c>
      <c r="RK31" s="249" t="str">
        <f>IF(OR(COUNT($LA30:$LA41)=0,$C$8="",$NC$42=""),"",IF($NC$42=0,0,AVERAGE($LA30:$LA41)*$C$8/10^9/$NC$42))</f>
        <v/>
      </c>
      <c r="RL31" s="249" t="str">
        <f>IF(OR(COUNT($LB30:$LB41)=0,$C$8="",$NC$42=""),"",IF($NC$42=0,0,AVERAGE($LB30:$LB41)*$C$8/10^9/$NC$42))</f>
        <v/>
      </c>
      <c r="RM31" s="249" t="str">
        <f>IF(OR(COUNT($LC30:$LC41)=0,$C$8="",$NC$42=""),"",IF($NC$42=0,0,AVERAGE($LC30:$LC41)*$C$8/10^9/$NC$42))</f>
        <v/>
      </c>
      <c r="RN31" s="249" t="str">
        <f>IF(OR(COUNT($LD30:$LD41)=0,$C$8="",$NC$42=""),"",IF($NC$42=0,0,AVERAGE($LD30:$LD41)*$C$8/10^9/$NC$42))</f>
        <v/>
      </c>
      <c r="RO31" s="249" t="str">
        <f>IF(OR(COUNT(LR30:LR41)=0,$C$8="",$NC$42=""),"",IF($NC$42=0,0,AVERAGE(LR30:LR41)*$C$8/10^9/$NC$42))</f>
        <v/>
      </c>
      <c r="RP31" s="249" t="str">
        <f>IF(OR(COUNT($LS30:$LS41)=0,$C$8="",$NC$42=""),"",IF($NC$42=0,0,AVERAGE($LS30:$LS41)*$C$8/10^9/$NC$42))</f>
        <v/>
      </c>
      <c r="RQ31" s="249" t="str">
        <f>IF(OR(COUNT($LT30:$LT41)=0,$C$8="",$NC$42=""),"",IF($NC$42=0,0,AVERAGE($LT30:$LT41)*$C$8/10^9/$NC$42))</f>
        <v/>
      </c>
      <c r="RR31" s="249" t="str">
        <f t="shared" si="83"/>
        <v/>
      </c>
      <c r="RS31" s="253"/>
      <c r="RT31" s="253"/>
      <c r="RU31" s="233" t="str">
        <f t="shared" ref="RU31:RU41" si="137">IF(OR($AK31="",$C$4=""),"",$AK31/$C$4)</f>
        <v/>
      </c>
      <c r="RV31" s="233" t="str">
        <f t="shared" ref="RV31:RV41" si="138">IF(OR($AL31="",$AL31=""),"",IF($AL31=0,0,$AL31/$AL31))</f>
        <v/>
      </c>
      <c r="RW31" s="233" t="str">
        <f t="shared" ref="RW31:RW41" si="139">IF(OR($BD31="",$AL31=""),"",IF($AL31=0,0,$BD31/$AL31))</f>
        <v/>
      </c>
      <c r="RX31" s="233" t="str">
        <f t="shared" ref="RX31:RX41" si="140">IF(OR($BV31="",$AL31=""),"",IF($AL31=0,0,$BV31/$AL31))</f>
        <v/>
      </c>
      <c r="RY31" s="233" t="str">
        <f t="shared" ref="RY31:RY41" si="141">IF(OR($CN31="",$AL31=""),"",IF($AL31=0,0,$CN31/$AL31))</f>
        <v/>
      </c>
      <c r="RZ31" s="233" t="str">
        <f t="shared" si="84"/>
        <v/>
      </c>
      <c r="SA31" s="233" t="str">
        <f t="shared" si="85"/>
        <v/>
      </c>
      <c r="SB31" s="233" t="str">
        <f t="shared" si="86"/>
        <v/>
      </c>
      <c r="SC31" s="233" t="str">
        <f t="shared" si="87"/>
        <v/>
      </c>
      <c r="SD31" s="233" t="str">
        <f t="shared" si="88"/>
        <v/>
      </c>
      <c r="SE31" s="233" t="str">
        <f t="shared" si="89"/>
        <v/>
      </c>
      <c r="SF31" s="233" t="str">
        <f t="shared" si="90"/>
        <v/>
      </c>
      <c r="SG31" s="233" t="str">
        <f t="shared" si="91"/>
        <v/>
      </c>
      <c r="SH31" s="233" t="str">
        <f t="shared" si="92"/>
        <v/>
      </c>
      <c r="SI31" s="233" t="str">
        <f t="shared" si="93"/>
        <v/>
      </c>
      <c r="SJ31" s="233" t="str">
        <f t="shared" si="94"/>
        <v/>
      </c>
      <c r="SK31" s="233" t="str">
        <f t="shared" si="95"/>
        <v/>
      </c>
      <c r="SL31" s="233" t="str">
        <f t="shared" si="96"/>
        <v/>
      </c>
      <c r="SM31" s="254" t="str">
        <f t="shared" ref="SM31:SM41" si="142">IF($AJ31="","",$AJ31)</f>
        <v/>
      </c>
      <c r="SN31" s="255" t="str">
        <f t="shared" si="97"/>
        <v/>
      </c>
      <c r="SO31" s="234" t="str">
        <f t="shared" ref="SO31:SO40" si="143">IF(OR($OI31="",$OC31="",COUNT($OI$30:$OI$41)=0),"",IF(MAX($OI$30:$OI$41)=0,0,($OI31-$OC31)/MAX($OI$30:$OI$41)))</f>
        <v/>
      </c>
      <c r="SP31" s="234" t="str">
        <f t="shared" ref="SP31:SP40" si="144">IF(OR($NH31="",COUNT($NH$30:$NH$41)=0),"",IF(MAX($NH$30:$NH$41)=0,0,$NH31/MAX($NH$30:$NH$41)))</f>
        <v/>
      </c>
      <c r="SQ31" s="249" t="str">
        <f t="shared" ref="SQ31:SQ41" si="145">IF($AL31="","",$AL31)</f>
        <v/>
      </c>
      <c r="SR31" s="249" t="str">
        <f t="shared" ref="SR31:SR41" si="146">IF($BD31="","",$BD31)</f>
        <v/>
      </c>
      <c r="SS31" s="249" t="str">
        <f t="shared" ref="SS31:SS41" si="147">IF($BV31="","",$BV31)</f>
        <v/>
      </c>
      <c r="ST31" s="249" t="str">
        <f t="shared" ref="ST31:ST41" si="148">IF($CN31="","",$CN31)</f>
        <v/>
      </c>
      <c r="SU31" s="249" t="str">
        <f t="shared" ref="SU31:SU41" si="149">IF($DF31="","",$DF31)</f>
        <v/>
      </c>
      <c r="SV31" s="249" t="str">
        <f t="shared" ref="SV31:SV41" si="150">IF($DX31="","",$DX31)</f>
        <v/>
      </c>
      <c r="SW31" s="249" t="str">
        <f t="shared" ref="SW31:SW41" si="151">IF($EP31="","",$EP31)</f>
        <v/>
      </c>
      <c r="SX31" s="249" t="str">
        <f t="shared" ref="SX31:SX41" si="152">IF($FH31="","",$FH31)</f>
        <v/>
      </c>
      <c r="SY31" s="249" t="str">
        <f t="shared" ref="SY31:SY41" si="153">IF($FZ31="","",$FZ31)</f>
        <v/>
      </c>
      <c r="SZ31" s="249" t="str">
        <f t="shared" ref="SZ31:SZ41" si="154">IF($GR31="","",$GR31)</f>
        <v/>
      </c>
      <c r="TA31" s="249" t="str">
        <f t="shared" ref="TA31:TA41" si="155">IF($HJ31="","",$HJ31)</f>
        <v/>
      </c>
      <c r="TB31" s="249" t="str">
        <f t="shared" ref="TB31:TB41" si="156">IF($IB31="","",$IB31)</f>
        <v/>
      </c>
      <c r="TC31" s="249" t="str">
        <f t="shared" si="98"/>
        <v/>
      </c>
      <c r="TD31" s="249" t="str">
        <f t="shared" ref="TD31:TD41" si="157">IF($IT31="","",$IT31)</f>
        <v/>
      </c>
      <c r="TE31" s="249" t="str">
        <f t="shared" ref="TE31:TE41" si="158">IF($KD31="","",$KD31)</f>
        <v/>
      </c>
      <c r="TF31" s="249" t="str">
        <f t="shared" ref="TF31:TF41" si="159">IF($KV31="","",$KV31)</f>
        <v/>
      </c>
      <c r="TG31" s="249" t="str">
        <f t="shared" ref="TG31:TG41" si="160">IF($LN31="","",$LN31)</f>
        <v/>
      </c>
      <c r="TK31" s="276" t="s">
        <v>862</v>
      </c>
      <c r="TL31" s="405">
        <f>IF(NJ42="",0,NJ42)</f>
        <v>0</v>
      </c>
      <c r="TM31" s="405">
        <f>IF(NG42="",0,NG42)</f>
        <v>0</v>
      </c>
      <c r="TN31" s="405">
        <f>IF(NE42="",0,NE42)</f>
        <v>0</v>
      </c>
      <c r="TQ31" s="407"/>
      <c r="TR31" s="408">
        <f>IF(OR($NC$42="",VB31=""),0,$NC$42*VB31)</f>
        <v>0</v>
      </c>
      <c r="TS31" s="408">
        <f>IF(OR($NC$42="",VC31=""),0,$NC$42*VC31)</f>
        <v>0</v>
      </c>
      <c r="TT31" s="408">
        <f>IF(OR($NC$42="",VD31=""),0,$NC$42*VD31)</f>
        <v>0</v>
      </c>
      <c r="TU31" s="408">
        <f>IF(OR($NC$42="",VE31=""),0,$NC$42*VE31)</f>
        <v>0</v>
      </c>
      <c r="TV31" s="408">
        <f>IF(OR($NC$42="",VF31=""),0,$NC$42*VF31)</f>
        <v>0</v>
      </c>
      <c r="TW31" s="287"/>
      <c r="UC31" s="407"/>
      <c r="UD31" s="409">
        <f>IF(OR($NC$42="",VB31=""),0,$NC$42*VB31)</f>
        <v>0</v>
      </c>
      <c r="UE31" s="409">
        <f>IF(OR($NC$42="",VC31=""),0,$NC$42*VC31)</f>
        <v>0</v>
      </c>
      <c r="UF31" s="409">
        <f>IF(OR($NC$42="",VD31=""),0,$NC$42*VD31)</f>
        <v>0</v>
      </c>
      <c r="UG31" s="409">
        <f>IF(OR($NC$42="",VE31=""),0,$NC$42*VE31)</f>
        <v>0</v>
      </c>
      <c r="UH31" s="409">
        <f>IF(OR($NC$42="",VF31=""),0,$NC$42*VF31)</f>
        <v>0</v>
      </c>
      <c r="VA31" s="410" t="s">
        <v>463</v>
      </c>
      <c r="VB31" s="411">
        <f>IF(OR(OJ42="",OK42=""),0,(OJ42+OK42)/2)</f>
        <v>0</v>
      </c>
      <c r="VC31" s="411">
        <f>IF(OR(OL42="",OM42=""),0,(OL42+OM42)/2)</f>
        <v>0</v>
      </c>
      <c r="VD31" s="411">
        <f>IF(ON42="",0,ON42)</f>
        <v>0</v>
      </c>
      <c r="VE31" s="411">
        <f>IF(OO42="",0,OO42)</f>
        <v>0</v>
      </c>
      <c r="VF31" s="411">
        <f>IF(OP42="",0,OP42)</f>
        <v>0</v>
      </c>
      <c r="VH31" s="299"/>
      <c r="VI31" s="412" t="s">
        <v>463</v>
      </c>
      <c r="VJ31" s="413">
        <f>IF(PA42="",0,PA42)</f>
        <v>0</v>
      </c>
      <c r="VK31" s="413">
        <f>IF(PF42="",0,PF42)</f>
        <v>0</v>
      </c>
      <c r="VL31" s="299"/>
      <c r="VM31" s="415" t="s">
        <v>1429</v>
      </c>
      <c r="VN31" s="416">
        <f>IF(OR(PB42="",VJ31=""),0,PB42*VJ31)</f>
        <v>0</v>
      </c>
      <c r="VO31" s="416">
        <f>IF(OR(PB42="",VJ31=""),0,(1-PB42)*VJ31)</f>
        <v>0</v>
      </c>
      <c r="VQ31" s="415" t="s">
        <v>1429</v>
      </c>
      <c r="VR31" s="416">
        <f>IF(OR(PB42="",VJ31=""),0,PB42*VJ31)</f>
        <v>0</v>
      </c>
      <c r="VS31" s="416">
        <f>IF(OR(PC42="",VJ31=""),0,PC42*VJ31)</f>
        <v>0</v>
      </c>
      <c r="VT31" s="416">
        <f>IF(OR(PD42="",VJ31=""),0,PD42*VJ31)</f>
        <v>0</v>
      </c>
      <c r="VV31" s="301" t="s">
        <v>569</v>
      </c>
      <c r="VW31" s="601">
        <f>IF(RR42="",0,RR42)</f>
        <v>0</v>
      </c>
      <c r="VX31" s="602">
        <f>IF(RS42="",0,RS42)</f>
        <v>0</v>
      </c>
      <c r="VY31" s="601">
        <f>IF(RT42="",0,RT42)</f>
        <v>0</v>
      </c>
      <c r="WC31" s="270"/>
      <c r="WD31" s="270"/>
      <c r="WE31" s="270"/>
      <c r="WF31" s="270"/>
      <c r="WG31" s="270"/>
      <c r="WH31" s="270"/>
      <c r="WI31" s="270"/>
      <c r="WJ31" s="270"/>
      <c r="WK31" s="270"/>
      <c r="WL31" s="270"/>
      <c r="WM31" s="270"/>
      <c r="WN31" s="270"/>
      <c r="WO31" s="270"/>
      <c r="WP31" s="270"/>
      <c r="WQ31" s="270"/>
      <c r="WR31" s="270"/>
      <c r="WS31" s="270"/>
    </row>
    <row r="32" spans="2:617" x14ac:dyDescent="0.25">
      <c r="AB32" s="287">
        <v>2</v>
      </c>
      <c r="AC32" s="637"/>
      <c r="AD32" s="637"/>
      <c r="AE32" s="637"/>
      <c r="AF32" s="637"/>
      <c r="AG32" s="637"/>
      <c r="AH32" s="637"/>
      <c r="AI32" s="637"/>
      <c r="AJ32" s="637"/>
      <c r="AK32" s="638"/>
      <c r="AL32" s="638"/>
      <c r="AM32" s="637"/>
      <c r="AN32" s="637"/>
      <c r="AO32" s="637"/>
      <c r="AP32" s="637"/>
      <c r="AQ32" s="639"/>
      <c r="AR32" s="639"/>
      <c r="AS32" s="638"/>
      <c r="AT32" s="638"/>
      <c r="AU32" s="637"/>
      <c r="AV32" s="637"/>
      <c r="AW32" s="637"/>
      <c r="AX32" s="637"/>
      <c r="AY32" s="637"/>
      <c r="AZ32" s="637"/>
      <c r="BA32" s="637"/>
      <c r="BB32" s="637"/>
      <c r="BC32" s="637"/>
      <c r="BD32" s="637"/>
      <c r="BE32" s="637"/>
      <c r="BF32" s="639"/>
      <c r="BG32" s="637"/>
      <c r="BH32" s="639"/>
      <c r="BI32" s="637"/>
      <c r="BJ32" s="637"/>
      <c r="BK32" s="637"/>
      <c r="BL32" s="637"/>
      <c r="BM32" s="637"/>
      <c r="BN32" s="637"/>
      <c r="BO32" s="637"/>
      <c r="BP32" s="637"/>
      <c r="BQ32" s="637"/>
      <c r="BR32" s="637"/>
      <c r="BS32" s="637"/>
      <c r="BT32" s="637"/>
      <c r="BU32" s="637"/>
      <c r="BV32" s="637"/>
      <c r="BW32" s="638"/>
      <c r="BX32" s="638"/>
      <c r="BY32" s="637"/>
      <c r="BZ32" s="637"/>
      <c r="CA32" s="637"/>
      <c r="CB32" s="637"/>
      <c r="CC32" s="637"/>
      <c r="CD32" s="637"/>
      <c r="CE32" s="637"/>
      <c r="CF32" s="637"/>
      <c r="CG32" s="637"/>
      <c r="CH32" s="637"/>
      <c r="CI32" s="637"/>
      <c r="CJ32" s="637"/>
      <c r="CK32" s="637"/>
      <c r="CL32" s="637"/>
      <c r="CM32" s="637"/>
      <c r="CN32" s="637"/>
      <c r="CO32" s="637"/>
      <c r="CP32" s="637"/>
      <c r="CQ32" s="637"/>
      <c r="CR32" s="637"/>
      <c r="CS32" s="637"/>
      <c r="CT32" s="637"/>
      <c r="CU32" s="637"/>
      <c r="CV32" s="637"/>
      <c r="CW32" s="637"/>
      <c r="CX32" s="637"/>
      <c r="CY32" s="637"/>
      <c r="CZ32" s="637"/>
      <c r="DA32" s="637"/>
      <c r="DB32" s="637"/>
      <c r="DC32" s="637"/>
      <c r="DD32" s="637"/>
      <c r="DE32" s="637"/>
      <c r="DF32" s="640"/>
      <c r="DG32" s="637"/>
      <c r="DH32" s="637"/>
      <c r="DI32" s="637"/>
      <c r="DJ32" s="637"/>
      <c r="DK32" s="637"/>
      <c r="DL32" s="637"/>
      <c r="DM32" s="637"/>
      <c r="DN32" s="637"/>
      <c r="DO32" s="639"/>
      <c r="DP32" s="639"/>
      <c r="DQ32" s="639"/>
      <c r="DR32" s="639"/>
      <c r="DS32" s="639"/>
      <c r="DT32" s="639"/>
      <c r="DU32" s="639"/>
      <c r="DV32" s="639"/>
      <c r="DW32" s="639"/>
      <c r="DX32" s="639"/>
      <c r="DY32" s="639"/>
      <c r="DZ32" s="639"/>
      <c r="EA32" s="639"/>
      <c r="EB32" s="637"/>
      <c r="EC32" s="639"/>
      <c r="ED32" s="639"/>
      <c r="EE32" s="639"/>
      <c r="EF32" s="639"/>
      <c r="EG32" s="639"/>
      <c r="EH32" s="639"/>
      <c r="EI32" s="639"/>
      <c r="EJ32" s="639"/>
      <c r="EK32" s="639"/>
      <c r="EL32" s="639"/>
      <c r="EM32" s="639"/>
      <c r="EN32" s="639"/>
      <c r="EO32" s="639"/>
      <c r="EP32" s="639"/>
      <c r="EQ32" s="639"/>
      <c r="ER32" s="639"/>
      <c r="ES32" s="637"/>
      <c r="ET32" s="639"/>
      <c r="EU32" s="639"/>
      <c r="EV32" s="639"/>
      <c r="EW32" s="639"/>
      <c r="EX32" s="639"/>
      <c r="EY32" s="639"/>
      <c r="EZ32" s="639"/>
      <c r="FA32" s="639"/>
      <c r="FB32" s="639"/>
      <c r="FC32" s="639"/>
      <c r="FD32" s="639"/>
      <c r="FE32" s="639"/>
      <c r="FF32" s="639"/>
      <c r="FG32" s="639"/>
      <c r="FH32" s="639"/>
      <c r="FI32" s="639"/>
      <c r="FJ32" s="639"/>
      <c r="FK32" s="639"/>
      <c r="FL32" s="639"/>
      <c r="FM32" s="639"/>
      <c r="FN32" s="639"/>
      <c r="FO32" s="637"/>
      <c r="FP32" s="637"/>
      <c r="FQ32" s="639"/>
      <c r="FR32" s="639"/>
      <c r="FS32" s="639"/>
      <c r="FT32" s="639"/>
      <c r="FU32" s="639"/>
      <c r="FV32" s="639"/>
      <c r="FW32" s="639"/>
      <c r="FX32" s="639"/>
      <c r="FY32" s="639"/>
      <c r="FZ32" s="639"/>
      <c r="GA32" s="639"/>
      <c r="GB32" s="639"/>
      <c r="GC32" s="639"/>
      <c r="GD32" s="639"/>
      <c r="GE32" s="639"/>
      <c r="GF32" s="639"/>
      <c r="GG32" s="639"/>
      <c r="GH32" s="639"/>
      <c r="GI32" s="639"/>
      <c r="GJ32" s="639"/>
      <c r="GK32" s="639"/>
      <c r="GL32" s="639"/>
      <c r="GM32" s="639"/>
      <c r="GN32" s="639"/>
      <c r="GO32" s="639"/>
      <c r="GP32" s="639"/>
      <c r="GQ32" s="639"/>
      <c r="GR32" s="639"/>
      <c r="GS32" s="639"/>
      <c r="GT32" s="639"/>
      <c r="GU32" s="639"/>
      <c r="GV32" s="639"/>
      <c r="GW32" s="639"/>
      <c r="GX32" s="639"/>
      <c r="GY32" s="639"/>
      <c r="GZ32" s="639"/>
      <c r="HA32" s="639"/>
      <c r="HB32" s="639"/>
      <c r="HC32" s="639"/>
      <c r="HD32" s="639"/>
      <c r="HE32" s="639"/>
      <c r="HF32" s="639"/>
      <c r="HG32" s="639"/>
      <c r="HH32" s="639"/>
      <c r="HI32" s="639"/>
      <c r="HJ32" s="639"/>
      <c r="HK32" s="639"/>
      <c r="HL32" s="639"/>
      <c r="HM32" s="639"/>
      <c r="HN32" s="639"/>
      <c r="HO32" s="639"/>
      <c r="HP32" s="639"/>
      <c r="HQ32" s="639"/>
      <c r="HR32" s="639"/>
      <c r="HS32" s="639"/>
      <c r="HT32" s="639"/>
      <c r="HU32" s="639"/>
      <c r="HV32" s="639"/>
      <c r="HW32" s="639"/>
      <c r="HX32" s="639"/>
      <c r="HY32" s="639"/>
      <c r="HZ32" s="639"/>
      <c r="IA32" s="639"/>
      <c r="IB32" s="639"/>
      <c r="IC32" s="639"/>
      <c r="ID32" s="639"/>
      <c r="IE32" s="639"/>
      <c r="IF32" s="639"/>
      <c r="IG32" s="639"/>
      <c r="IH32" s="639"/>
      <c r="II32" s="639"/>
      <c r="IJ32" s="639"/>
      <c r="IK32" s="639"/>
      <c r="IL32" s="639"/>
      <c r="IM32" s="639"/>
      <c r="IN32" s="639"/>
      <c r="IO32" s="639"/>
      <c r="IP32" s="639"/>
      <c r="IQ32" s="639"/>
      <c r="IR32" s="639"/>
      <c r="IS32" s="639"/>
      <c r="IT32" s="639"/>
      <c r="IU32" s="639"/>
      <c r="IV32" s="639"/>
      <c r="IW32" s="639"/>
      <c r="IX32" s="639"/>
      <c r="IY32" s="639"/>
      <c r="IZ32" s="639"/>
      <c r="JA32" s="639"/>
      <c r="JB32" s="639"/>
      <c r="JC32" s="639"/>
      <c r="JD32" s="639"/>
      <c r="JE32" s="639"/>
      <c r="JF32" s="639"/>
      <c r="JG32" s="639"/>
      <c r="JH32" s="639"/>
      <c r="JI32" s="639"/>
      <c r="JJ32" s="639"/>
      <c r="JK32" s="639"/>
      <c r="JL32" s="639"/>
      <c r="JM32" s="639"/>
      <c r="JN32" s="639"/>
      <c r="JO32" s="639"/>
      <c r="JP32" s="639"/>
      <c r="JQ32" s="639"/>
      <c r="JR32" s="639"/>
      <c r="JS32" s="639"/>
      <c r="JT32" s="639"/>
      <c r="JU32" s="639"/>
      <c r="JV32" s="639"/>
      <c r="JW32" s="639"/>
      <c r="JX32" s="639"/>
      <c r="JY32" s="639"/>
      <c r="JZ32" s="639"/>
      <c r="KA32" s="639"/>
      <c r="KB32" s="639"/>
      <c r="KC32" s="639"/>
      <c r="KD32" s="639"/>
      <c r="KE32" s="639"/>
      <c r="KF32" s="639"/>
      <c r="KG32" s="639"/>
      <c r="KH32" s="639"/>
      <c r="KI32" s="639"/>
      <c r="KJ32" s="639"/>
      <c r="KK32" s="639"/>
      <c r="KL32" s="639"/>
      <c r="KM32" s="639"/>
      <c r="KN32" s="639"/>
      <c r="KO32" s="639"/>
      <c r="KP32" s="639"/>
      <c r="KQ32" s="639"/>
      <c r="KR32" s="639"/>
      <c r="KS32" s="639"/>
      <c r="KT32" s="639"/>
      <c r="KU32" s="639"/>
      <c r="KV32" s="639"/>
      <c r="KW32" s="639"/>
      <c r="KX32" s="639"/>
      <c r="KY32" s="639"/>
      <c r="KZ32" s="639"/>
      <c r="LA32" s="639"/>
      <c r="LB32" s="639"/>
      <c r="LC32" s="639"/>
      <c r="LD32" s="639"/>
      <c r="LE32" s="639"/>
      <c r="LF32" s="639"/>
      <c r="LG32" s="639"/>
      <c r="LH32" s="639"/>
      <c r="LI32" s="639"/>
      <c r="LJ32" s="639"/>
      <c r="LK32" s="639"/>
      <c r="LL32" s="639"/>
      <c r="LM32" s="639"/>
      <c r="LN32" s="639"/>
      <c r="LO32" s="639"/>
      <c r="LP32" s="639"/>
      <c r="LQ32" s="639"/>
      <c r="LR32" s="639"/>
      <c r="LS32" s="639"/>
      <c r="LT32" s="639"/>
      <c r="LU32" s="639"/>
      <c r="LV32" s="639"/>
      <c r="MC32" s="299" t="s">
        <v>864</v>
      </c>
      <c r="MD32" s="417"/>
      <c r="ME32" s="418"/>
      <c r="MF32" s="418"/>
      <c r="MG32" s="418"/>
      <c r="MH32" s="418"/>
      <c r="MI32" s="418"/>
      <c r="MJ32" s="418"/>
      <c r="MK32" s="418"/>
      <c r="ML32" s="418"/>
      <c r="MM32" s="418"/>
      <c r="MN32" s="418"/>
      <c r="MO32" s="418"/>
      <c r="MP32" s="418"/>
      <c r="MQ32" s="418"/>
      <c r="MR32" s="418"/>
      <c r="MS32" s="418"/>
      <c r="MT32" s="419"/>
      <c r="NA32" s="470" t="str">
        <f t="shared" si="99"/>
        <v/>
      </c>
      <c r="NB32" s="470" t="str">
        <f t="shared" si="100"/>
        <v/>
      </c>
      <c r="NC32" s="232" t="str">
        <f t="shared" si="101"/>
        <v/>
      </c>
      <c r="ND32" s="233" t="str">
        <f t="shared" si="102"/>
        <v/>
      </c>
      <c r="NE32" s="234" t="str">
        <f t="shared" si="14"/>
        <v/>
      </c>
      <c r="NF32" s="233" t="str">
        <f t="shared" si="15"/>
        <v/>
      </c>
      <c r="NG32" s="235"/>
      <c r="NH32" s="236" t="str">
        <f t="shared" si="103"/>
        <v/>
      </c>
      <c r="NI32" s="233" t="str">
        <f t="shared" si="16"/>
        <v/>
      </c>
      <c r="NJ32" s="237" t="str">
        <f t="shared" si="104"/>
        <v/>
      </c>
      <c r="NK32" s="238" t="str">
        <f t="shared" si="105"/>
        <v/>
      </c>
      <c r="NL32" s="239" t="str">
        <f t="shared" si="17"/>
        <v/>
      </c>
      <c r="NM32" s="240" t="str">
        <f t="shared" si="106"/>
        <v/>
      </c>
      <c r="NN32" s="240" t="str">
        <f t="shared" si="18"/>
        <v/>
      </c>
      <c r="NO32" s="241" t="str">
        <f t="shared" si="19"/>
        <v/>
      </c>
      <c r="NP32" s="242" t="str">
        <f t="shared" si="107"/>
        <v/>
      </c>
      <c r="NQ32" s="241" t="str">
        <f t="shared" si="108"/>
        <v/>
      </c>
      <c r="NR32" s="241" t="str">
        <f t="shared" si="109"/>
        <v/>
      </c>
      <c r="NS32" s="241" t="str">
        <f t="shared" si="20"/>
        <v/>
      </c>
      <c r="NT32" s="241" t="str">
        <f t="shared" si="21"/>
        <v/>
      </c>
      <c r="NU32" s="241" t="str">
        <f t="shared" si="22"/>
        <v/>
      </c>
      <c r="NV32" s="241" t="str">
        <f t="shared" si="110"/>
        <v/>
      </c>
      <c r="NW32" s="241" t="str">
        <f t="shared" si="23"/>
        <v/>
      </c>
      <c r="NX32" s="241" t="str">
        <f t="shared" si="24"/>
        <v/>
      </c>
      <c r="NY32" s="241" t="str">
        <f t="shared" si="25"/>
        <v/>
      </c>
      <c r="NZ32" s="241" t="str">
        <f t="shared" si="26"/>
        <v/>
      </c>
      <c r="OA32" s="241" t="str">
        <f t="shared" si="27"/>
        <v/>
      </c>
      <c r="OB32" s="241" t="str">
        <f t="shared" si="28"/>
        <v/>
      </c>
      <c r="OC32" s="241" t="str">
        <f t="shared" si="29"/>
        <v/>
      </c>
      <c r="OD32" s="241" t="str">
        <f t="shared" si="30"/>
        <v/>
      </c>
      <c r="OE32" s="241" t="str">
        <f t="shared" si="31"/>
        <v/>
      </c>
      <c r="OF32" s="241" t="str">
        <f t="shared" si="32"/>
        <v/>
      </c>
      <c r="OG32" s="241" t="str">
        <f t="shared" si="33"/>
        <v/>
      </c>
      <c r="OH32" s="241" t="str">
        <f t="shared" si="34"/>
        <v/>
      </c>
      <c r="OI32" s="241" t="str">
        <f t="shared" si="111"/>
        <v/>
      </c>
      <c r="OJ32" s="244" t="str">
        <f t="shared" si="112"/>
        <v/>
      </c>
      <c r="OK32" s="244" t="str">
        <f t="shared" si="113"/>
        <v/>
      </c>
      <c r="OL32" s="244" t="str">
        <f t="shared" si="114"/>
        <v/>
      </c>
      <c r="OM32" s="244" t="str">
        <f t="shared" si="115"/>
        <v/>
      </c>
      <c r="ON32" s="243" t="str">
        <f t="shared" si="35"/>
        <v/>
      </c>
      <c r="OO32" s="235"/>
      <c r="OP32" s="235"/>
      <c r="OQ32" s="244" t="str">
        <f t="shared" si="116"/>
        <v/>
      </c>
      <c r="OR32" s="244" t="str">
        <f t="shared" si="117"/>
        <v/>
      </c>
      <c r="OS32" s="250" t="str">
        <f t="shared" si="36"/>
        <v/>
      </c>
      <c r="OT32" s="250" t="str">
        <f t="shared" si="37"/>
        <v/>
      </c>
      <c r="OU32" s="245" t="str">
        <f t="shared" si="38"/>
        <v/>
      </c>
      <c r="OV32" s="245" t="str">
        <f t="shared" si="39"/>
        <v/>
      </c>
      <c r="OW32" s="234" t="str">
        <f t="shared" si="118"/>
        <v/>
      </c>
      <c r="OX32" s="246" t="str">
        <f t="shared" si="40"/>
        <v/>
      </c>
      <c r="OY32" s="233" t="str">
        <f t="shared" si="119"/>
        <v/>
      </c>
      <c r="OZ32" s="233" t="str">
        <f t="shared" si="41"/>
        <v/>
      </c>
      <c r="PA32" s="234" t="str">
        <f t="shared" si="120"/>
        <v/>
      </c>
      <c r="PB32" s="234" t="str">
        <f>IF(OR($CQ32="",$OZ32=""),"",IF($OZ32=0,0,
GuardLimitUpper(
  ($OZ32-$CQ32)/$OZ32,
  data_GuardLimitFlag,
  1)
))</f>
        <v/>
      </c>
      <c r="PC32" s="234" t="str">
        <f t="shared" si="42"/>
        <v/>
      </c>
      <c r="PD32" s="234" t="str">
        <f t="shared" si="43"/>
        <v/>
      </c>
      <c r="PE32" s="233" t="str">
        <f t="shared" si="121"/>
        <v/>
      </c>
      <c r="PF32" s="234" t="str">
        <f t="shared" si="122"/>
        <v/>
      </c>
      <c r="PG32" s="234" t="str">
        <f t="shared" si="44"/>
        <v/>
      </c>
      <c r="PH32" s="234" t="str">
        <f t="shared" si="45"/>
        <v/>
      </c>
      <c r="PI32" s="234" t="str">
        <f t="shared" si="46"/>
        <v/>
      </c>
      <c r="PJ32" s="247" t="str">
        <f t="shared" si="47"/>
        <v/>
      </c>
      <c r="PK32" s="247" t="str">
        <f t="shared" si="48"/>
        <v/>
      </c>
      <c r="PL32" s="248" t="str">
        <f t="shared" si="123"/>
        <v/>
      </c>
      <c r="PM32" s="248" t="str">
        <f t="shared" si="49"/>
        <v/>
      </c>
      <c r="PN32" s="248" t="str">
        <f t="shared" si="124"/>
        <v/>
      </c>
      <c r="PO32" s="248" t="str">
        <f t="shared" si="50"/>
        <v/>
      </c>
      <c r="PP32" s="566" t="str">
        <f t="shared" si="51"/>
        <v/>
      </c>
      <c r="PQ32" s="581" t="str">
        <f t="shared" si="125"/>
        <v/>
      </c>
      <c r="PR32" s="566" t="str">
        <f t="shared" si="52"/>
        <v/>
      </c>
      <c r="PS32" s="248" t="str">
        <f t="shared" si="53"/>
        <v/>
      </c>
      <c r="PT32" s="248" t="str">
        <f t="shared" si="126"/>
        <v/>
      </c>
      <c r="PU32" s="248" t="str">
        <f t="shared" si="54"/>
        <v/>
      </c>
      <c r="PV32" s="248" t="str">
        <f t="shared" si="127"/>
        <v/>
      </c>
      <c r="PW32" s="566" t="str">
        <f t="shared" si="55"/>
        <v/>
      </c>
      <c r="PX32" s="566" t="str">
        <f t="shared" ref="PX32:PX41" si="161">IF($O$8="Lv2","",IF($IV32="","",$IV32))</f>
        <v/>
      </c>
      <c r="PY32" s="566" t="str">
        <f t="shared" si="56"/>
        <v/>
      </c>
      <c r="PZ32" s="248" t="str">
        <f t="shared" si="57"/>
        <v/>
      </c>
      <c r="QA32" s="248" t="str">
        <f t="shared" si="58"/>
        <v/>
      </c>
      <c r="QB32" s="248" t="str">
        <f t="shared" si="59"/>
        <v/>
      </c>
      <c r="QC32" s="248" t="str">
        <f t="shared" si="60"/>
        <v/>
      </c>
      <c r="QD32" s="248" t="str">
        <f t="shared" si="128"/>
        <v/>
      </c>
      <c r="QE32" s="248" t="str">
        <f t="shared" si="129"/>
        <v/>
      </c>
      <c r="QF32" s="248" t="str">
        <f t="shared" si="130"/>
        <v/>
      </c>
      <c r="QG32" s="249" t="str">
        <f t="shared" si="61"/>
        <v/>
      </c>
      <c r="QH32" s="249" t="str">
        <f t="shared" si="62"/>
        <v/>
      </c>
      <c r="QI32" s="249" t="str">
        <f t="shared" si="63"/>
        <v/>
      </c>
      <c r="QJ32" s="249" t="str">
        <f t="shared" si="64"/>
        <v/>
      </c>
      <c r="QK32" s="249" t="str">
        <f t="shared" si="65"/>
        <v/>
      </c>
      <c r="QL32" s="249" t="str">
        <f t="shared" si="131"/>
        <v/>
      </c>
      <c r="QM32" s="249" t="str">
        <f>IF(OR($O$8="Lv2",$O$8="Lv3",$O$8="Lv4"),IF(OR($AS32="",COUNT($PL32:$QL32)=0),"",
GuardLimitLower(
  $AS32-SUM($PL32:$QL32),
  data_GuardLimitFlag,
  0)
),"")</f>
        <v/>
      </c>
      <c r="QN32" s="249" t="str">
        <f t="shared" si="132"/>
        <v/>
      </c>
      <c r="QO32" s="251" t="str">
        <f t="shared" si="133"/>
        <v/>
      </c>
      <c r="QP32" s="251" t="str">
        <f t="shared" si="134"/>
        <v/>
      </c>
      <c r="QQ32" s="251" t="str">
        <f t="shared" si="135"/>
        <v/>
      </c>
      <c r="QR32" s="251" t="str">
        <f t="shared" si="66"/>
        <v/>
      </c>
      <c r="QS32" s="234" t="str">
        <f t="shared" si="67"/>
        <v/>
      </c>
      <c r="QT32" s="234" t="str">
        <f t="shared" si="68"/>
        <v/>
      </c>
      <c r="QU32" s="234" t="str">
        <f t="shared" si="69"/>
        <v/>
      </c>
      <c r="QV32" s="233" t="str">
        <f t="shared" si="70"/>
        <v/>
      </c>
      <c r="QW32" s="233" t="str">
        <f t="shared" si="71"/>
        <v/>
      </c>
      <c r="QX32" s="233" t="str">
        <f t="shared" si="72"/>
        <v/>
      </c>
      <c r="QY32" s="233" t="str">
        <f t="shared" si="73"/>
        <v/>
      </c>
      <c r="QZ32" s="233" t="str">
        <f t="shared" si="74"/>
        <v/>
      </c>
      <c r="RA32" s="234" t="str">
        <f t="shared" si="136"/>
        <v/>
      </c>
      <c r="RB32" s="234" t="str">
        <f t="shared" si="75"/>
        <v/>
      </c>
      <c r="RC32" s="234" t="str">
        <f t="shared" si="76"/>
        <v/>
      </c>
      <c r="RD32" s="234" t="str">
        <f t="shared" si="77"/>
        <v/>
      </c>
      <c r="RE32" s="234" t="str">
        <f t="shared" si="78"/>
        <v/>
      </c>
      <c r="RF32" s="234" t="str">
        <f t="shared" si="79"/>
        <v/>
      </c>
      <c r="RG32" s="234" t="str">
        <f t="shared" si="80"/>
        <v/>
      </c>
      <c r="RH32" s="234" t="str">
        <f t="shared" si="81"/>
        <v/>
      </c>
      <c r="RI32" s="234" t="str">
        <f t="shared" si="82"/>
        <v/>
      </c>
      <c r="RJ32" s="150"/>
      <c r="RK32" s="150"/>
      <c r="RL32" s="150"/>
      <c r="RM32" s="150"/>
      <c r="RN32" s="150"/>
      <c r="RO32" s="150"/>
      <c r="RP32" s="150"/>
      <c r="RQ32" s="150"/>
      <c r="RR32" s="249" t="str">
        <f t="shared" si="83"/>
        <v/>
      </c>
      <c r="RS32" s="253"/>
      <c r="RT32" s="253"/>
      <c r="RU32" s="233" t="str">
        <f t="shared" si="137"/>
        <v/>
      </c>
      <c r="RV32" s="233" t="str">
        <f t="shared" si="138"/>
        <v/>
      </c>
      <c r="RW32" s="233" t="str">
        <f t="shared" si="139"/>
        <v/>
      </c>
      <c r="RX32" s="233" t="str">
        <f t="shared" si="140"/>
        <v/>
      </c>
      <c r="RY32" s="233" t="str">
        <f t="shared" si="141"/>
        <v/>
      </c>
      <c r="RZ32" s="233" t="str">
        <f t="shared" si="84"/>
        <v/>
      </c>
      <c r="SA32" s="233" t="str">
        <f t="shared" si="85"/>
        <v/>
      </c>
      <c r="SB32" s="233" t="str">
        <f t="shared" si="86"/>
        <v/>
      </c>
      <c r="SC32" s="233" t="str">
        <f t="shared" si="87"/>
        <v/>
      </c>
      <c r="SD32" s="233" t="str">
        <f t="shared" si="88"/>
        <v/>
      </c>
      <c r="SE32" s="233" t="str">
        <f t="shared" si="89"/>
        <v/>
      </c>
      <c r="SF32" s="233" t="str">
        <f t="shared" si="90"/>
        <v/>
      </c>
      <c r="SG32" s="233" t="str">
        <f t="shared" si="91"/>
        <v/>
      </c>
      <c r="SH32" s="233" t="str">
        <f t="shared" si="92"/>
        <v/>
      </c>
      <c r="SI32" s="233" t="str">
        <f t="shared" si="93"/>
        <v/>
      </c>
      <c r="SJ32" s="233" t="str">
        <f t="shared" si="94"/>
        <v/>
      </c>
      <c r="SK32" s="233" t="str">
        <f t="shared" si="95"/>
        <v/>
      </c>
      <c r="SL32" s="233" t="str">
        <f t="shared" si="96"/>
        <v/>
      </c>
      <c r="SM32" s="254" t="str">
        <f t="shared" si="142"/>
        <v/>
      </c>
      <c r="SN32" s="255" t="str">
        <f t="shared" si="97"/>
        <v/>
      </c>
      <c r="SO32" s="234" t="str">
        <f t="shared" si="143"/>
        <v/>
      </c>
      <c r="SP32" s="234" t="str">
        <f t="shared" si="144"/>
        <v/>
      </c>
      <c r="SQ32" s="249" t="str">
        <f t="shared" si="145"/>
        <v/>
      </c>
      <c r="SR32" s="249" t="str">
        <f t="shared" si="146"/>
        <v/>
      </c>
      <c r="SS32" s="249" t="str">
        <f t="shared" si="147"/>
        <v/>
      </c>
      <c r="ST32" s="249" t="str">
        <f t="shared" si="148"/>
        <v/>
      </c>
      <c r="SU32" s="249" t="str">
        <f t="shared" si="149"/>
        <v/>
      </c>
      <c r="SV32" s="249" t="str">
        <f t="shared" si="150"/>
        <v/>
      </c>
      <c r="SW32" s="249" t="str">
        <f t="shared" si="151"/>
        <v/>
      </c>
      <c r="SX32" s="249" t="str">
        <f t="shared" si="152"/>
        <v/>
      </c>
      <c r="SY32" s="249" t="str">
        <f t="shared" si="153"/>
        <v/>
      </c>
      <c r="SZ32" s="249" t="str">
        <f t="shared" si="154"/>
        <v/>
      </c>
      <c r="TA32" s="249" t="str">
        <f t="shared" si="155"/>
        <v/>
      </c>
      <c r="TB32" s="249" t="str">
        <f t="shared" si="156"/>
        <v/>
      </c>
      <c r="TC32" s="249" t="str">
        <f t="shared" si="98"/>
        <v/>
      </c>
      <c r="TD32" s="249" t="str">
        <f t="shared" si="157"/>
        <v/>
      </c>
      <c r="TE32" s="249" t="str">
        <f t="shared" si="158"/>
        <v/>
      </c>
      <c r="TF32" s="249" t="str">
        <f t="shared" si="159"/>
        <v/>
      </c>
      <c r="TG32" s="249" t="str">
        <f t="shared" si="160"/>
        <v/>
      </c>
      <c r="TQ32" s="420"/>
      <c r="TR32" s="420"/>
      <c r="TS32" s="421"/>
      <c r="TT32" s="420"/>
      <c r="TU32" s="420"/>
      <c r="TV32" s="420"/>
      <c r="TW32" s="287" t="s">
        <v>468</v>
      </c>
      <c r="UC32" s="420"/>
      <c r="UD32" s="420"/>
      <c r="UE32" s="421"/>
      <c r="UF32" s="420"/>
      <c r="UG32" s="420"/>
      <c r="UH32" s="420"/>
      <c r="UI32" s="287" t="s">
        <v>468</v>
      </c>
      <c r="VA32" s="284" t="s">
        <v>1912</v>
      </c>
      <c r="VI32" s="284" t="s">
        <v>1913</v>
      </c>
      <c r="VJ32" s="299"/>
      <c r="VK32" s="299"/>
      <c r="VM32" s="415" t="s">
        <v>1430</v>
      </c>
      <c r="VN32" s="416">
        <f>IF(OR(PG42="",VK31=""),0,PG42*VK31)</f>
        <v>0</v>
      </c>
      <c r="VO32" s="416">
        <f>IF(OR(PG42="",VK31=""),0,(1-PG42)*VK31)</f>
        <v>0</v>
      </c>
      <c r="VQ32" s="415" t="s">
        <v>1430</v>
      </c>
      <c r="VR32" s="416">
        <f>IF(OR(PG42="",VK31=""),0,PG42*VK31)</f>
        <v>0</v>
      </c>
      <c r="VS32" s="416">
        <f>IF(OR(PH42="",VK31=""),0,PH42*VK31)</f>
        <v>0</v>
      </c>
      <c r="VT32" s="416">
        <f>IF(OR(PI42="",VK31=""),0,PI42*VK31)</f>
        <v>0</v>
      </c>
      <c r="WC32" s="270"/>
      <c r="WD32" s="270"/>
      <c r="WE32" s="270"/>
      <c r="WF32" s="270"/>
      <c r="WG32" s="270"/>
      <c r="WH32" s="270"/>
      <c r="WI32" s="270"/>
      <c r="WJ32" s="270"/>
      <c r="WK32" s="270"/>
      <c r="WL32" s="270"/>
      <c r="WM32" s="270"/>
      <c r="WN32" s="270"/>
      <c r="WO32" s="270"/>
      <c r="WP32" s="270"/>
      <c r="WQ32" s="270"/>
      <c r="WR32" s="270"/>
      <c r="WS32" s="270"/>
    </row>
    <row r="33" spans="28:617" x14ac:dyDescent="0.25">
      <c r="AB33" s="287">
        <v>3</v>
      </c>
      <c r="AC33" s="637"/>
      <c r="AD33" s="637"/>
      <c r="AE33" s="637"/>
      <c r="AF33" s="637"/>
      <c r="AG33" s="637"/>
      <c r="AH33" s="637"/>
      <c r="AI33" s="637"/>
      <c r="AJ33" s="637"/>
      <c r="AK33" s="638"/>
      <c r="AL33" s="638"/>
      <c r="AM33" s="637"/>
      <c r="AN33" s="637"/>
      <c r="AO33" s="637"/>
      <c r="AP33" s="637"/>
      <c r="AQ33" s="639"/>
      <c r="AR33" s="639"/>
      <c r="AS33" s="638"/>
      <c r="AT33" s="638"/>
      <c r="AU33" s="637"/>
      <c r="AV33" s="637"/>
      <c r="AW33" s="637"/>
      <c r="AX33" s="637"/>
      <c r="AY33" s="637"/>
      <c r="AZ33" s="637"/>
      <c r="BA33" s="637"/>
      <c r="BB33" s="637"/>
      <c r="BC33" s="637"/>
      <c r="BD33" s="637"/>
      <c r="BE33" s="637"/>
      <c r="BF33" s="639"/>
      <c r="BG33" s="637"/>
      <c r="BH33" s="639"/>
      <c r="BI33" s="637"/>
      <c r="BJ33" s="637"/>
      <c r="BK33" s="637"/>
      <c r="BL33" s="637"/>
      <c r="BM33" s="637"/>
      <c r="BN33" s="637"/>
      <c r="BO33" s="637"/>
      <c r="BP33" s="637"/>
      <c r="BQ33" s="637"/>
      <c r="BR33" s="637"/>
      <c r="BS33" s="637"/>
      <c r="BT33" s="637"/>
      <c r="BU33" s="637"/>
      <c r="BV33" s="637"/>
      <c r="BW33" s="638"/>
      <c r="BX33" s="638"/>
      <c r="BY33" s="637"/>
      <c r="BZ33" s="637"/>
      <c r="CA33" s="637"/>
      <c r="CB33" s="637"/>
      <c r="CC33" s="637"/>
      <c r="CD33" s="637"/>
      <c r="CE33" s="637"/>
      <c r="CF33" s="637"/>
      <c r="CG33" s="637"/>
      <c r="CH33" s="637"/>
      <c r="CI33" s="637"/>
      <c r="CJ33" s="637"/>
      <c r="CK33" s="637"/>
      <c r="CL33" s="637"/>
      <c r="CM33" s="637"/>
      <c r="CN33" s="637"/>
      <c r="CO33" s="637"/>
      <c r="CP33" s="637"/>
      <c r="CQ33" s="637"/>
      <c r="CR33" s="637"/>
      <c r="CS33" s="637"/>
      <c r="CT33" s="637"/>
      <c r="CU33" s="637"/>
      <c r="CV33" s="637"/>
      <c r="CW33" s="637"/>
      <c r="CX33" s="637"/>
      <c r="CY33" s="637"/>
      <c r="CZ33" s="637"/>
      <c r="DA33" s="637"/>
      <c r="DB33" s="637"/>
      <c r="DC33" s="637"/>
      <c r="DD33" s="637"/>
      <c r="DE33" s="637"/>
      <c r="DF33" s="640"/>
      <c r="DG33" s="637"/>
      <c r="DH33" s="637"/>
      <c r="DI33" s="637"/>
      <c r="DJ33" s="637"/>
      <c r="DK33" s="637"/>
      <c r="DL33" s="637"/>
      <c r="DM33" s="637"/>
      <c r="DN33" s="637"/>
      <c r="DO33" s="639"/>
      <c r="DP33" s="639"/>
      <c r="DQ33" s="639"/>
      <c r="DR33" s="639"/>
      <c r="DS33" s="639"/>
      <c r="DT33" s="639"/>
      <c r="DU33" s="639"/>
      <c r="DV33" s="639"/>
      <c r="DW33" s="639"/>
      <c r="DX33" s="639"/>
      <c r="DY33" s="639"/>
      <c r="DZ33" s="639"/>
      <c r="EA33" s="639"/>
      <c r="EB33" s="637"/>
      <c r="EC33" s="639"/>
      <c r="ED33" s="639"/>
      <c r="EE33" s="639"/>
      <c r="EF33" s="639"/>
      <c r="EG33" s="639"/>
      <c r="EH33" s="639"/>
      <c r="EI33" s="639"/>
      <c r="EJ33" s="639"/>
      <c r="EK33" s="639"/>
      <c r="EL33" s="639"/>
      <c r="EM33" s="639"/>
      <c r="EN33" s="639"/>
      <c r="EO33" s="639"/>
      <c r="EP33" s="639"/>
      <c r="EQ33" s="639"/>
      <c r="ER33" s="639"/>
      <c r="ES33" s="637"/>
      <c r="ET33" s="639"/>
      <c r="EU33" s="639"/>
      <c r="EV33" s="639"/>
      <c r="EW33" s="639"/>
      <c r="EX33" s="639"/>
      <c r="EY33" s="639"/>
      <c r="EZ33" s="639"/>
      <c r="FA33" s="639"/>
      <c r="FB33" s="639"/>
      <c r="FC33" s="639"/>
      <c r="FD33" s="639"/>
      <c r="FE33" s="639"/>
      <c r="FF33" s="639"/>
      <c r="FG33" s="639"/>
      <c r="FH33" s="639"/>
      <c r="FI33" s="639"/>
      <c r="FJ33" s="639"/>
      <c r="FK33" s="639"/>
      <c r="FL33" s="639"/>
      <c r="FM33" s="639"/>
      <c r="FN33" s="639"/>
      <c r="FO33" s="637"/>
      <c r="FP33" s="637"/>
      <c r="FQ33" s="639"/>
      <c r="FR33" s="639"/>
      <c r="FS33" s="639"/>
      <c r="FT33" s="639"/>
      <c r="FU33" s="639"/>
      <c r="FV33" s="639"/>
      <c r="FW33" s="639"/>
      <c r="FX33" s="639"/>
      <c r="FY33" s="639"/>
      <c r="FZ33" s="639"/>
      <c r="GA33" s="639"/>
      <c r="GB33" s="639"/>
      <c r="GC33" s="639"/>
      <c r="GD33" s="639"/>
      <c r="GE33" s="639"/>
      <c r="GF33" s="639"/>
      <c r="GG33" s="639"/>
      <c r="GH33" s="639"/>
      <c r="GI33" s="639"/>
      <c r="GJ33" s="639"/>
      <c r="GK33" s="639"/>
      <c r="GL33" s="639"/>
      <c r="GM33" s="639"/>
      <c r="GN33" s="639"/>
      <c r="GO33" s="639"/>
      <c r="GP33" s="639"/>
      <c r="GQ33" s="639"/>
      <c r="GR33" s="639"/>
      <c r="GS33" s="639"/>
      <c r="GT33" s="639"/>
      <c r="GU33" s="639"/>
      <c r="GV33" s="639"/>
      <c r="GW33" s="639"/>
      <c r="GX33" s="639"/>
      <c r="GY33" s="639"/>
      <c r="GZ33" s="639"/>
      <c r="HA33" s="639"/>
      <c r="HB33" s="639"/>
      <c r="HC33" s="639"/>
      <c r="HD33" s="639"/>
      <c r="HE33" s="639"/>
      <c r="HF33" s="639"/>
      <c r="HG33" s="639"/>
      <c r="HH33" s="639"/>
      <c r="HI33" s="639"/>
      <c r="HJ33" s="639"/>
      <c r="HK33" s="639"/>
      <c r="HL33" s="639"/>
      <c r="HM33" s="639"/>
      <c r="HN33" s="639"/>
      <c r="HO33" s="639"/>
      <c r="HP33" s="639"/>
      <c r="HQ33" s="639"/>
      <c r="HR33" s="639"/>
      <c r="HS33" s="639"/>
      <c r="HT33" s="639"/>
      <c r="HU33" s="639"/>
      <c r="HV33" s="639"/>
      <c r="HW33" s="639"/>
      <c r="HX33" s="639"/>
      <c r="HY33" s="639"/>
      <c r="HZ33" s="639"/>
      <c r="IA33" s="639"/>
      <c r="IB33" s="639"/>
      <c r="IC33" s="639"/>
      <c r="ID33" s="639"/>
      <c r="IE33" s="639"/>
      <c r="IF33" s="639"/>
      <c r="IG33" s="639"/>
      <c r="IH33" s="639"/>
      <c r="II33" s="639"/>
      <c r="IJ33" s="639"/>
      <c r="IK33" s="639"/>
      <c r="IL33" s="639"/>
      <c r="IM33" s="639"/>
      <c r="IN33" s="639"/>
      <c r="IO33" s="639"/>
      <c r="IP33" s="639"/>
      <c r="IQ33" s="639"/>
      <c r="IR33" s="639"/>
      <c r="IS33" s="639"/>
      <c r="IT33" s="639"/>
      <c r="IU33" s="639"/>
      <c r="IV33" s="639"/>
      <c r="IW33" s="639"/>
      <c r="IX33" s="639"/>
      <c r="IY33" s="639"/>
      <c r="IZ33" s="639"/>
      <c r="JA33" s="639"/>
      <c r="JB33" s="639"/>
      <c r="JC33" s="639"/>
      <c r="JD33" s="639"/>
      <c r="JE33" s="639"/>
      <c r="JF33" s="639"/>
      <c r="JG33" s="639"/>
      <c r="JH33" s="639"/>
      <c r="JI33" s="639"/>
      <c r="JJ33" s="639"/>
      <c r="JK33" s="639"/>
      <c r="JL33" s="639"/>
      <c r="JM33" s="639"/>
      <c r="JN33" s="639"/>
      <c r="JO33" s="639"/>
      <c r="JP33" s="639"/>
      <c r="JQ33" s="639"/>
      <c r="JR33" s="639"/>
      <c r="JS33" s="639"/>
      <c r="JT33" s="639"/>
      <c r="JU33" s="639"/>
      <c r="JV33" s="639"/>
      <c r="JW33" s="639"/>
      <c r="JX33" s="639"/>
      <c r="JY33" s="639"/>
      <c r="JZ33" s="639"/>
      <c r="KA33" s="639"/>
      <c r="KB33" s="639"/>
      <c r="KC33" s="639"/>
      <c r="KD33" s="639"/>
      <c r="KE33" s="639"/>
      <c r="KF33" s="639"/>
      <c r="KG33" s="639"/>
      <c r="KH33" s="639"/>
      <c r="KI33" s="639"/>
      <c r="KJ33" s="639"/>
      <c r="KK33" s="639"/>
      <c r="KL33" s="639"/>
      <c r="KM33" s="639"/>
      <c r="KN33" s="639"/>
      <c r="KO33" s="639"/>
      <c r="KP33" s="639"/>
      <c r="KQ33" s="639"/>
      <c r="KR33" s="639"/>
      <c r="KS33" s="639"/>
      <c r="KT33" s="639"/>
      <c r="KU33" s="639"/>
      <c r="KV33" s="639"/>
      <c r="KW33" s="639"/>
      <c r="KX33" s="639"/>
      <c r="KY33" s="639"/>
      <c r="KZ33" s="639"/>
      <c r="LA33" s="639"/>
      <c r="LB33" s="639"/>
      <c r="LC33" s="639"/>
      <c r="LD33" s="639"/>
      <c r="LE33" s="639"/>
      <c r="LF33" s="639"/>
      <c r="LG33" s="639"/>
      <c r="LH33" s="639"/>
      <c r="LI33" s="639"/>
      <c r="LJ33" s="639"/>
      <c r="LK33" s="639"/>
      <c r="LL33" s="639"/>
      <c r="LM33" s="639"/>
      <c r="LN33" s="639"/>
      <c r="LO33" s="639"/>
      <c r="LP33" s="639"/>
      <c r="LQ33" s="639"/>
      <c r="LR33" s="639"/>
      <c r="LS33" s="639"/>
      <c r="LT33" s="639"/>
      <c r="LU33" s="639"/>
      <c r="LV33" s="639"/>
      <c r="MC33" s="299" t="s">
        <v>453</v>
      </c>
      <c r="MD33" s="417"/>
      <c r="ME33" s="418"/>
      <c r="MF33" s="418"/>
      <c r="MG33" s="418"/>
      <c r="MH33" s="418"/>
      <c r="MI33" s="418"/>
      <c r="MJ33" s="418"/>
      <c r="MK33" s="418"/>
      <c r="ML33" s="418"/>
      <c r="MM33" s="418"/>
      <c r="MN33" s="418"/>
      <c r="MO33" s="418"/>
      <c r="MP33" s="418"/>
      <c r="MQ33" s="418"/>
      <c r="MR33" s="418"/>
      <c r="MS33" s="418"/>
      <c r="MT33" s="419"/>
      <c r="NA33" s="470" t="str">
        <f t="shared" si="99"/>
        <v/>
      </c>
      <c r="NB33" s="470" t="str">
        <f t="shared" si="100"/>
        <v/>
      </c>
      <c r="NC33" s="232" t="str">
        <f t="shared" si="101"/>
        <v/>
      </c>
      <c r="ND33" s="233" t="str">
        <f t="shared" si="102"/>
        <v/>
      </c>
      <c r="NE33" s="234" t="str">
        <f t="shared" si="14"/>
        <v/>
      </c>
      <c r="NF33" s="233" t="str">
        <f t="shared" si="15"/>
        <v/>
      </c>
      <c r="NG33" s="235"/>
      <c r="NH33" s="236" t="str">
        <f t="shared" si="103"/>
        <v/>
      </c>
      <c r="NI33" s="233" t="str">
        <f t="shared" si="16"/>
        <v/>
      </c>
      <c r="NJ33" s="237" t="str">
        <f t="shared" si="104"/>
        <v/>
      </c>
      <c r="NK33" s="238" t="str">
        <f t="shared" si="105"/>
        <v/>
      </c>
      <c r="NL33" s="239" t="str">
        <f t="shared" si="17"/>
        <v/>
      </c>
      <c r="NM33" s="240" t="str">
        <f t="shared" si="106"/>
        <v/>
      </c>
      <c r="NN33" s="240" t="str">
        <f t="shared" si="18"/>
        <v/>
      </c>
      <c r="NO33" s="241" t="str">
        <f t="shared" si="19"/>
        <v/>
      </c>
      <c r="NP33" s="242" t="str">
        <f t="shared" si="107"/>
        <v/>
      </c>
      <c r="NQ33" s="241" t="str">
        <f t="shared" si="108"/>
        <v/>
      </c>
      <c r="NR33" s="241" t="str">
        <f t="shared" si="109"/>
        <v/>
      </c>
      <c r="NS33" s="241" t="str">
        <f t="shared" si="20"/>
        <v/>
      </c>
      <c r="NT33" s="241" t="str">
        <f t="shared" si="21"/>
        <v/>
      </c>
      <c r="NU33" s="241" t="str">
        <f t="shared" si="22"/>
        <v/>
      </c>
      <c r="NV33" s="241" t="str">
        <f t="shared" si="110"/>
        <v/>
      </c>
      <c r="NW33" s="241" t="str">
        <f t="shared" si="23"/>
        <v/>
      </c>
      <c r="NX33" s="241" t="str">
        <f t="shared" si="24"/>
        <v/>
      </c>
      <c r="NY33" s="241" t="str">
        <f t="shared" si="25"/>
        <v/>
      </c>
      <c r="NZ33" s="241" t="str">
        <f t="shared" si="26"/>
        <v/>
      </c>
      <c r="OA33" s="241" t="str">
        <f t="shared" si="27"/>
        <v/>
      </c>
      <c r="OB33" s="241" t="str">
        <f t="shared" si="28"/>
        <v/>
      </c>
      <c r="OC33" s="241" t="str">
        <f t="shared" si="29"/>
        <v/>
      </c>
      <c r="OD33" s="241" t="str">
        <f t="shared" si="30"/>
        <v/>
      </c>
      <c r="OE33" s="241" t="str">
        <f t="shared" si="31"/>
        <v/>
      </c>
      <c r="OF33" s="241" t="str">
        <f t="shared" si="32"/>
        <v/>
      </c>
      <c r="OG33" s="241" t="str">
        <f t="shared" si="33"/>
        <v/>
      </c>
      <c r="OH33" s="241" t="str">
        <f t="shared" si="34"/>
        <v/>
      </c>
      <c r="OI33" s="241" t="str">
        <f t="shared" si="111"/>
        <v/>
      </c>
      <c r="OJ33" s="244" t="str">
        <f t="shared" si="112"/>
        <v/>
      </c>
      <c r="OK33" s="244" t="str">
        <f t="shared" si="113"/>
        <v/>
      </c>
      <c r="OL33" s="244" t="str">
        <f t="shared" si="114"/>
        <v/>
      </c>
      <c r="OM33" s="244" t="str">
        <f t="shared" si="115"/>
        <v/>
      </c>
      <c r="ON33" s="243" t="str">
        <f t="shared" si="35"/>
        <v/>
      </c>
      <c r="OO33" s="235"/>
      <c r="OP33" s="235"/>
      <c r="OQ33" s="244" t="str">
        <f t="shared" si="116"/>
        <v/>
      </c>
      <c r="OR33" s="244" t="str">
        <f t="shared" si="117"/>
        <v/>
      </c>
      <c r="OS33" s="250" t="str">
        <f t="shared" si="36"/>
        <v/>
      </c>
      <c r="OT33" s="250" t="str">
        <f t="shared" si="37"/>
        <v/>
      </c>
      <c r="OU33" s="245" t="str">
        <f t="shared" si="38"/>
        <v/>
      </c>
      <c r="OV33" s="245" t="str">
        <f t="shared" si="39"/>
        <v/>
      </c>
      <c r="OW33" s="234" t="str">
        <f t="shared" si="118"/>
        <v/>
      </c>
      <c r="OX33" s="246" t="str">
        <f t="shared" si="40"/>
        <v/>
      </c>
      <c r="OY33" s="233" t="str">
        <f t="shared" si="119"/>
        <v/>
      </c>
      <c r="OZ33" s="233" t="str">
        <f t="shared" si="41"/>
        <v/>
      </c>
      <c r="PA33" s="234" t="str">
        <f t="shared" si="120"/>
        <v/>
      </c>
      <c r="PB33" s="234" t="str">
        <f>IF(OR($CQ33="",$OZ33=""),"",IF($OZ33=0,0,
GuardLimitUpper(
  ($OZ33-$CQ33)/$OZ33,
  data_GuardLimitFlag,
  1)
))</f>
        <v/>
      </c>
      <c r="PC33" s="234" t="str">
        <f t="shared" si="42"/>
        <v/>
      </c>
      <c r="PD33" s="234" t="str">
        <f t="shared" si="43"/>
        <v/>
      </c>
      <c r="PE33" s="233" t="str">
        <f t="shared" si="121"/>
        <v/>
      </c>
      <c r="PF33" s="234" t="str">
        <f t="shared" si="122"/>
        <v/>
      </c>
      <c r="PG33" s="234" t="str">
        <f t="shared" si="44"/>
        <v/>
      </c>
      <c r="PH33" s="234" t="str">
        <f t="shared" si="45"/>
        <v/>
      </c>
      <c r="PI33" s="234" t="str">
        <f t="shared" si="46"/>
        <v/>
      </c>
      <c r="PJ33" s="247" t="str">
        <f t="shared" si="47"/>
        <v/>
      </c>
      <c r="PK33" s="247" t="str">
        <f t="shared" si="48"/>
        <v/>
      </c>
      <c r="PL33" s="248" t="str">
        <f t="shared" si="123"/>
        <v/>
      </c>
      <c r="PM33" s="248" t="str">
        <f t="shared" si="49"/>
        <v/>
      </c>
      <c r="PN33" s="248" t="str">
        <f t="shared" si="124"/>
        <v/>
      </c>
      <c r="PO33" s="248" t="str">
        <f t="shared" si="50"/>
        <v/>
      </c>
      <c r="PP33" s="566" t="str">
        <f t="shared" si="51"/>
        <v/>
      </c>
      <c r="PQ33" s="581" t="str">
        <f t="shared" si="125"/>
        <v/>
      </c>
      <c r="PR33" s="566" t="str">
        <f t="shared" si="52"/>
        <v/>
      </c>
      <c r="PS33" s="248" t="str">
        <f t="shared" si="53"/>
        <v/>
      </c>
      <c r="PT33" s="248" t="str">
        <f t="shared" si="126"/>
        <v/>
      </c>
      <c r="PU33" s="248" t="str">
        <f t="shared" si="54"/>
        <v/>
      </c>
      <c r="PV33" s="248" t="str">
        <f t="shared" si="127"/>
        <v/>
      </c>
      <c r="PW33" s="566" t="str">
        <f t="shared" si="55"/>
        <v/>
      </c>
      <c r="PX33" s="566" t="str">
        <f t="shared" si="161"/>
        <v/>
      </c>
      <c r="PY33" s="566" t="str">
        <f t="shared" si="56"/>
        <v/>
      </c>
      <c r="PZ33" s="248" t="str">
        <f t="shared" si="57"/>
        <v/>
      </c>
      <c r="QA33" s="248" t="str">
        <f t="shared" si="58"/>
        <v/>
      </c>
      <c r="QB33" s="248" t="str">
        <f t="shared" si="59"/>
        <v/>
      </c>
      <c r="QC33" s="248" t="str">
        <f t="shared" si="60"/>
        <v/>
      </c>
      <c r="QD33" s="248" t="str">
        <f t="shared" si="128"/>
        <v/>
      </c>
      <c r="QE33" s="248" t="str">
        <f t="shared" si="129"/>
        <v/>
      </c>
      <c r="QF33" s="248" t="str">
        <f t="shared" si="130"/>
        <v/>
      </c>
      <c r="QG33" s="249" t="str">
        <f t="shared" si="61"/>
        <v/>
      </c>
      <c r="QH33" s="249" t="str">
        <f t="shared" si="62"/>
        <v/>
      </c>
      <c r="QI33" s="249" t="str">
        <f t="shared" si="63"/>
        <v/>
      </c>
      <c r="QJ33" s="249" t="str">
        <f t="shared" si="64"/>
        <v/>
      </c>
      <c r="QK33" s="249" t="str">
        <f t="shared" si="65"/>
        <v/>
      </c>
      <c r="QL33" s="249" t="str">
        <f t="shared" si="131"/>
        <v/>
      </c>
      <c r="QM33" s="249" t="str">
        <f>IF(OR($O$8="Lv2",$O$8="Lv3",$O$8="Lv4"),IF(OR($AS33="",COUNT($PL33:$QL33)=0),"",
GuardLimitLower(
  $AS33-SUM($PL33:$QL33),
  data_GuardLimitFlag,
  0)
),"")</f>
        <v/>
      </c>
      <c r="QN33" s="249" t="str">
        <f t="shared" si="132"/>
        <v/>
      </c>
      <c r="QO33" s="251" t="str">
        <f t="shared" si="133"/>
        <v/>
      </c>
      <c r="QP33" s="251" t="str">
        <f t="shared" si="134"/>
        <v/>
      </c>
      <c r="QQ33" s="251" t="str">
        <f t="shared" si="135"/>
        <v/>
      </c>
      <c r="QR33" s="251" t="str">
        <f t="shared" si="66"/>
        <v/>
      </c>
      <c r="QS33" s="234" t="str">
        <f t="shared" si="67"/>
        <v/>
      </c>
      <c r="QT33" s="234" t="str">
        <f t="shared" si="68"/>
        <v/>
      </c>
      <c r="QU33" s="234" t="str">
        <f t="shared" si="69"/>
        <v/>
      </c>
      <c r="QV33" s="233" t="str">
        <f t="shared" si="70"/>
        <v/>
      </c>
      <c r="QW33" s="233" t="str">
        <f t="shared" si="71"/>
        <v/>
      </c>
      <c r="QX33" s="233" t="str">
        <f t="shared" si="72"/>
        <v/>
      </c>
      <c r="QY33" s="233" t="str">
        <f t="shared" si="73"/>
        <v/>
      </c>
      <c r="QZ33" s="233" t="str">
        <f t="shared" si="74"/>
        <v/>
      </c>
      <c r="RA33" s="234" t="str">
        <f t="shared" si="136"/>
        <v/>
      </c>
      <c r="RB33" s="234" t="str">
        <f t="shared" si="75"/>
        <v/>
      </c>
      <c r="RC33" s="234" t="str">
        <f t="shared" si="76"/>
        <v/>
      </c>
      <c r="RD33" s="234" t="str">
        <f t="shared" si="77"/>
        <v/>
      </c>
      <c r="RE33" s="234" t="str">
        <f t="shared" si="78"/>
        <v/>
      </c>
      <c r="RF33" s="234" t="str">
        <f t="shared" si="79"/>
        <v/>
      </c>
      <c r="RG33" s="234" t="str">
        <f t="shared" si="80"/>
        <v/>
      </c>
      <c r="RH33" s="234" t="str">
        <f t="shared" si="81"/>
        <v/>
      </c>
      <c r="RI33" s="234" t="str">
        <f t="shared" si="82"/>
        <v/>
      </c>
      <c r="RJ33" s="150"/>
      <c r="RK33" s="150"/>
      <c r="RL33" s="150"/>
      <c r="RM33" s="150"/>
      <c r="RN33" s="150"/>
      <c r="RO33" s="150"/>
      <c r="RP33" s="150"/>
      <c r="RQ33" s="150"/>
      <c r="RR33" s="249" t="str">
        <f t="shared" si="83"/>
        <v/>
      </c>
      <c r="RS33" s="253"/>
      <c r="RT33" s="253"/>
      <c r="RU33" s="233" t="str">
        <f t="shared" si="137"/>
        <v/>
      </c>
      <c r="RV33" s="233" t="str">
        <f t="shared" si="138"/>
        <v/>
      </c>
      <c r="RW33" s="233" t="str">
        <f t="shared" si="139"/>
        <v/>
      </c>
      <c r="RX33" s="233" t="str">
        <f t="shared" si="140"/>
        <v/>
      </c>
      <c r="RY33" s="233" t="str">
        <f t="shared" si="141"/>
        <v/>
      </c>
      <c r="RZ33" s="233" t="str">
        <f t="shared" si="84"/>
        <v/>
      </c>
      <c r="SA33" s="233" t="str">
        <f t="shared" si="85"/>
        <v/>
      </c>
      <c r="SB33" s="233" t="str">
        <f t="shared" si="86"/>
        <v/>
      </c>
      <c r="SC33" s="233" t="str">
        <f t="shared" si="87"/>
        <v/>
      </c>
      <c r="SD33" s="233" t="str">
        <f t="shared" si="88"/>
        <v/>
      </c>
      <c r="SE33" s="233" t="str">
        <f t="shared" si="89"/>
        <v/>
      </c>
      <c r="SF33" s="233" t="str">
        <f t="shared" si="90"/>
        <v/>
      </c>
      <c r="SG33" s="233" t="str">
        <f t="shared" si="91"/>
        <v/>
      </c>
      <c r="SH33" s="233" t="str">
        <f t="shared" si="92"/>
        <v/>
      </c>
      <c r="SI33" s="233" t="str">
        <f t="shared" si="93"/>
        <v/>
      </c>
      <c r="SJ33" s="233" t="str">
        <f t="shared" si="94"/>
        <v/>
      </c>
      <c r="SK33" s="233" t="str">
        <f t="shared" si="95"/>
        <v/>
      </c>
      <c r="SL33" s="233" t="str">
        <f t="shared" si="96"/>
        <v/>
      </c>
      <c r="SM33" s="254" t="str">
        <f t="shared" si="142"/>
        <v/>
      </c>
      <c r="SN33" s="255" t="str">
        <f t="shared" si="97"/>
        <v/>
      </c>
      <c r="SO33" s="234" t="str">
        <f t="shared" si="143"/>
        <v/>
      </c>
      <c r="SP33" s="234" t="str">
        <f t="shared" si="144"/>
        <v/>
      </c>
      <c r="SQ33" s="249" t="str">
        <f t="shared" si="145"/>
        <v/>
      </c>
      <c r="SR33" s="249" t="str">
        <f t="shared" si="146"/>
        <v/>
      </c>
      <c r="SS33" s="249" t="str">
        <f t="shared" si="147"/>
        <v/>
      </c>
      <c r="ST33" s="249" t="str">
        <f t="shared" si="148"/>
        <v/>
      </c>
      <c r="SU33" s="249" t="str">
        <f t="shared" si="149"/>
        <v/>
      </c>
      <c r="SV33" s="249" t="str">
        <f t="shared" si="150"/>
        <v/>
      </c>
      <c r="SW33" s="249" t="str">
        <f t="shared" si="151"/>
        <v/>
      </c>
      <c r="SX33" s="249" t="str">
        <f t="shared" si="152"/>
        <v/>
      </c>
      <c r="SY33" s="249" t="str">
        <f t="shared" si="153"/>
        <v/>
      </c>
      <c r="SZ33" s="249" t="str">
        <f t="shared" si="154"/>
        <v/>
      </c>
      <c r="TA33" s="249" t="str">
        <f t="shared" si="155"/>
        <v/>
      </c>
      <c r="TB33" s="249" t="str">
        <f t="shared" si="156"/>
        <v/>
      </c>
      <c r="TC33" s="249" t="str">
        <f t="shared" si="98"/>
        <v/>
      </c>
      <c r="TD33" s="249" t="str">
        <f t="shared" si="157"/>
        <v/>
      </c>
      <c r="TE33" s="249" t="str">
        <f t="shared" si="158"/>
        <v/>
      </c>
      <c r="TF33" s="249" t="str">
        <f t="shared" si="159"/>
        <v/>
      </c>
      <c r="TG33" s="249" t="str">
        <f t="shared" si="160"/>
        <v/>
      </c>
      <c r="TQ33" s="406"/>
      <c r="TR33" s="422"/>
      <c r="TS33" s="420"/>
      <c r="TT33" s="420"/>
      <c r="TU33" s="420"/>
      <c r="TV33" s="420"/>
      <c r="TW33" s="287" t="s">
        <v>469</v>
      </c>
      <c r="UC33" s="406"/>
      <c r="UD33" s="422"/>
      <c r="UE33" s="420"/>
      <c r="UF33" s="420"/>
      <c r="UG33" s="420"/>
      <c r="UH33" s="420"/>
      <c r="UI33" s="287" t="s">
        <v>469</v>
      </c>
      <c r="WC33" s="270"/>
      <c r="WD33" s="270"/>
      <c r="WE33" s="270"/>
      <c r="WF33" s="270"/>
      <c r="WG33" s="270"/>
      <c r="WH33" s="270"/>
      <c r="WI33" s="270"/>
      <c r="WJ33" s="270"/>
      <c r="WK33" s="270"/>
      <c r="WL33" s="270"/>
      <c r="WM33" s="270"/>
      <c r="WN33" s="270"/>
      <c r="WO33" s="270"/>
      <c r="WP33" s="270"/>
      <c r="WQ33" s="270"/>
      <c r="WR33" s="270"/>
      <c r="WS33" s="270"/>
    </row>
    <row r="34" spans="28:617" x14ac:dyDescent="0.25">
      <c r="AB34" s="287">
        <v>4</v>
      </c>
      <c r="AC34" s="637"/>
      <c r="AD34" s="637"/>
      <c r="AE34" s="637"/>
      <c r="AF34" s="637"/>
      <c r="AG34" s="637"/>
      <c r="AH34" s="637"/>
      <c r="AI34" s="637"/>
      <c r="AJ34" s="637"/>
      <c r="AK34" s="638"/>
      <c r="AL34" s="638"/>
      <c r="AM34" s="637"/>
      <c r="AN34" s="637"/>
      <c r="AO34" s="637"/>
      <c r="AP34" s="637"/>
      <c r="AQ34" s="639"/>
      <c r="AR34" s="639"/>
      <c r="AS34" s="638"/>
      <c r="AT34" s="638"/>
      <c r="AU34" s="637"/>
      <c r="AV34" s="637"/>
      <c r="AW34" s="637"/>
      <c r="AX34" s="637"/>
      <c r="AY34" s="637"/>
      <c r="AZ34" s="637"/>
      <c r="BA34" s="637"/>
      <c r="BB34" s="637"/>
      <c r="BC34" s="637"/>
      <c r="BD34" s="637"/>
      <c r="BE34" s="637"/>
      <c r="BF34" s="639"/>
      <c r="BG34" s="637"/>
      <c r="BH34" s="639"/>
      <c r="BI34" s="637"/>
      <c r="BJ34" s="637"/>
      <c r="BK34" s="637"/>
      <c r="BL34" s="637"/>
      <c r="BM34" s="637"/>
      <c r="BN34" s="637"/>
      <c r="BO34" s="637"/>
      <c r="BP34" s="637"/>
      <c r="BQ34" s="637"/>
      <c r="BR34" s="637"/>
      <c r="BS34" s="637"/>
      <c r="BT34" s="637"/>
      <c r="BU34" s="637"/>
      <c r="BV34" s="637"/>
      <c r="BW34" s="638"/>
      <c r="BX34" s="638"/>
      <c r="BY34" s="637"/>
      <c r="BZ34" s="637"/>
      <c r="CA34" s="637"/>
      <c r="CB34" s="637"/>
      <c r="CC34" s="637"/>
      <c r="CD34" s="637"/>
      <c r="CE34" s="637"/>
      <c r="CF34" s="637"/>
      <c r="CG34" s="637"/>
      <c r="CH34" s="637"/>
      <c r="CI34" s="637"/>
      <c r="CJ34" s="637"/>
      <c r="CK34" s="637"/>
      <c r="CL34" s="637"/>
      <c r="CM34" s="637"/>
      <c r="CN34" s="637"/>
      <c r="CO34" s="637"/>
      <c r="CP34" s="637"/>
      <c r="CQ34" s="637"/>
      <c r="CR34" s="637"/>
      <c r="CS34" s="637"/>
      <c r="CT34" s="637"/>
      <c r="CU34" s="637"/>
      <c r="CV34" s="637"/>
      <c r="CW34" s="637"/>
      <c r="CX34" s="637"/>
      <c r="CY34" s="637"/>
      <c r="CZ34" s="637"/>
      <c r="DA34" s="637"/>
      <c r="DB34" s="637"/>
      <c r="DC34" s="637"/>
      <c r="DD34" s="637"/>
      <c r="DE34" s="637"/>
      <c r="DF34" s="640"/>
      <c r="DG34" s="637"/>
      <c r="DH34" s="637"/>
      <c r="DI34" s="637"/>
      <c r="DJ34" s="637"/>
      <c r="DK34" s="637"/>
      <c r="DL34" s="637"/>
      <c r="DM34" s="637"/>
      <c r="DN34" s="637"/>
      <c r="DO34" s="639"/>
      <c r="DP34" s="639"/>
      <c r="DQ34" s="639"/>
      <c r="DR34" s="639"/>
      <c r="DS34" s="639"/>
      <c r="DT34" s="639"/>
      <c r="DU34" s="639"/>
      <c r="DV34" s="639"/>
      <c r="DW34" s="639"/>
      <c r="DX34" s="639"/>
      <c r="DY34" s="639"/>
      <c r="DZ34" s="639"/>
      <c r="EA34" s="639"/>
      <c r="EB34" s="637"/>
      <c r="EC34" s="639"/>
      <c r="ED34" s="639"/>
      <c r="EE34" s="639"/>
      <c r="EF34" s="639"/>
      <c r="EG34" s="639"/>
      <c r="EH34" s="639"/>
      <c r="EI34" s="639"/>
      <c r="EJ34" s="639"/>
      <c r="EK34" s="639"/>
      <c r="EL34" s="639"/>
      <c r="EM34" s="639"/>
      <c r="EN34" s="639"/>
      <c r="EO34" s="639"/>
      <c r="EP34" s="639"/>
      <c r="EQ34" s="639"/>
      <c r="ER34" s="639"/>
      <c r="ES34" s="637"/>
      <c r="ET34" s="639"/>
      <c r="EU34" s="639"/>
      <c r="EV34" s="639"/>
      <c r="EW34" s="639"/>
      <c r="EX34" s="639"/>
      <c r="EY34" s="639"/>
      <c r="EZ34" s="639"/>
      <c r="FA34" s="639"/>
      <c r="FB34" s="639"/>
      <c r="FC34" s="639"/>
      <c r="FD34" s="639"/>
      <c r="FE34" s="639"/>
      <c r="FF34" s="639"/>
      <c r="FG34" s="639"/>
      <c r="FH34" s="639"/>
      <c r="FI34" s="639"/>
      <c r="FJ34" s="639"/>
      <c r="FK34" s="639"/>
      <c r="FL34" s="639"/>
      <c r="FM34" s="639"/>
      <c r="FN34" s="639"/>
      <c r="FO34" s="637"/>
      <c r="FP34" s="637"/>
      <c r="FQ34" s="639"/>
      <c r="FR34" s="639"/>
      <c r="FS34" s="639"/>
      <c r="FT34" s="639"/>
      <c r="FU34" s="639"/>
      <c r="FV34" s="639"/>
      <c r="FW34" s="639"/>
      <c r="FX34" s="639"/>
      <c r="FY34" s="639"/>
      <c r="FZ34" s="639"/>
      <c r="GA34" s="639"/>
      <c r="GB34" s="639"/>
      <c r="GC34" s="639"/>
      <c r="GD34" s="639"/>
      <c r="GE34" s="639"/>
      <c r="GF34" s="639"/>
      <c r="GG34" s="639"/>
      <c r="GH34" s="639"/>
      <c r="GI34" s="639"/>
      <c r="GJ34" s="639"/>
      <c r="GK34" s="639"/>
      <c r="GL34" s="639"/>
      <c r="GM34" s="639"/>
      <c r="GN34" s="639"/>
      <c r="GO34" s="639"/>
      <c r="GP34" s="639"/>
      <c r="GQ34" s="639"/>
      <c r="GR34" s="639"/>
      <c r="GS34" s="639"/>
      <c r="GT34" s="639"/>
      <c r="GU34" s="639"/>
      <c r="GV34" s="639"/>
      <c r="GW34" s="639"/>
      <c r="GX34" s="639"/>
      <c r="GY34" s="639"/>
      <c r="GZ34" s="639"/>
      <c r="HA34" s="639"/>
      <c r="HB34" s="639"/>
      <c r="HC34" s="639"/>
      <c r="HD34" s="639"/>
      <c r="HE34" s="639"/>
      <c r="HF34" s="639"/>
      <c r="HG34" s="639"/>
      <c r="HH34" s="639"/>
      <c r="HI34" s="639"/>
      <c r="HJ34" s="639"/>
      <c r="HK34" s="639"/>
      <c r="HL34" s="639"/>
      <c r="HM34" s="639"/>
      <c r="HN34" s="639"/>
      <c r="HO34" s="639"/>
      <c r="HP34" s="639"/>
      <c r="HQ34" s="639"/>
      <c r="HR34" s="639"/>
      <c r="HS34" s="639"/>
      <c r="HT34" s="639"/>
      <c r="HU34" s="639"/>
      <c r="HV34" s="639"/>
      <c r="HW34" s="639"/>
      <c r="HX34" s="639"/>
      <c r="HY34" s="639"/>
      <c r="HZ34" s="639"/>
      <c r="IA34" s="639"/>
      <c r="IB34" s="639"/>
      <c r="IC34" s="639"/>
      <c r="ID34" s="639"/>
      <c r="IE34" s="639"/>
      <c r="IF34" s="639"/>
      <c r="IG34" s="639"/>
      <c r="IH34" s="639"/>
      <c r="II34" s="639"/>
      <c r="IJ34" s="639"/>
      <c r="IK34" s="639"/>
      <c r="IL34" s="639"/>
      <c r="IM34" s="639"/>
      <c r="IN34" s="639"/>
      <c r="IO34" s="639"/>
      <c r="IP34" s="639"/>
      <c r="IQ34" s="639"/>
      <c r="IR34" s="639"/>
      <c r="IS34" s="639"/>
      <c r="IT34" s="639"/>
      <c r="IU34" s="639"/>
      <c r="IV34" s="639"/>
      <c r="IW34" s="639"/>
      <c r="IX34" s="639"/>
      <c r="IY34" s="639"/>
      <c r="IZ34" s="639"/>
      <c r="JA34" s="639"/>
      <c r="JB34" s="639"/>
      <c r="JC34" s="639"/>
      <c r="JD34" s="639"/>
      <c r="JE34" s="639"/>
      <c r="JF34" s="639"/>
      <c r="JG34" s="639"/>
      <c r="JH34" s="639"/>
      <c r="JI34" s="639"/>
      <c r="JJ34" s="639"/>
      <c r="JK34" s="639"/>
      <c r="JL34" s="639"/>
      <c r="JM34" s="639"/>
      <c r="JN34" s="639"/>
      <c r="JO34" s="639"/>
      <c r="JP34" s="639"/>
      <c r="JQ34" s="639"/>
      <c r="JR34" s="639"/>
      <c r="JS34" s="639"/>
      <c r="JT34" s="639"/>
      <c r="JU34" s="639"/>
      <c r="JV34" s="639"/>
      <c r="JW34" s="639"/>
      <c r="JX34" s="639"/>
      <c r="JY34" s="639"/>
      <c r="JZ34" s="639"/>
      <c r="KA34" s="639"/>
      <c r="KB34" s="639"/>
      <c r="KC34" s="639"/>
      <c r="KD34" s="639"/>
      <c r="KE34" s="639"/>
      <c r="KF34" s="639"/>
      <c r="KG34" s="639"/>
      <c r="KH34" s="639"/>
      <c r="KI34" s="639"/>
      <c r="KJ34" s="639"/>
      <c r="KK34" s="639"/>
      <c r="KL34" s="639"/>
      <c r="KM34" s="639"/>
      <c r="KN34" s="639"/>
      <c r="KO34" s="639"/>
      <c r="KP34" s="639"/>
      <c r="KQ34" s="639"/>
      <c r="KR34" s="639"/>
      <c r="KS34" s="639"/>
      <c r="KT34" s="639"/>
      <c r="KU34" s="639"/>
      <c r="KV34" s="639"/>
      <c r="KW34" s="639"/>
      <c r="KX34" s="639"/>
      <c r="KY34" s="639"/>
      <c r="KZ34" s="639"/>
      <c r="LA34" s="639"/>
      <c r="LB34" s="639"/>
      <c r="LC34" s="639"/>
      <c r="LD34" s="639"/>
      <c r="LE34" s="639"/>
      <c r="LF34" s="639"/>
      <c r="LG34" s="639"/>
      <c r="LH34" s="639"/>
      <c r="LI34" s="639"/>
      <c r="LJ34" s="639"/>
      <c r="LK34" s="639"/>
      <c r="LL34" s="639"/>
      <c r="LM34" s="639"/>
      <c r="LN34" s="639"/>
      <c r="LO34" s="639"/>
      <c r="LP34" s="639"/>
      <c r="LQ34" s="639"/>
      <c r="LR34" s="639"/>
      <c r="LS34" s="639"/>
      <c r="LT34" s="639"/>
      <c r="LU34" s="639"/>
      <c r="LV34" s="639"/>
      <c r="MC34" s="299" t="s">
        <v>1788</v>
      </c>
      <c r="MD34" s="417"/>
      <c r="ME34" s="418"/>
      <c r="MF34" s="418"/>
      <c r="MG34" s="418"/>
      <c r="MH34" s="418"/>
      <c r="MI34" s="418"/>
      <c r="MJ34" s="418"/>
      <c r="MK34" s="418"/>
      <c r="ML34" s="418"/>
      <c r="MM34" s="418"/>
      <c r="MN34" s="418"/>
      <c r="MO34" s="418"/>
      <c r="MP34" s="418"/>
      <c r="MQ34" s="418"/>
      <c r="MR34" s="418"/>
      <c r="MS34" s="418"/>
      <c r="MT34" s="419"/>
      <c r="NA34" s="470" t="str">
        <f t="shared" si="99"/>
        <v/>
      </c>
      <c r="NB34" s="470" t="str">
        <f t="shared" si="100"/>
        <v/>
      </c>
      <c r="NC34" s="232" t="str">
        <f t="shared" si="101"/>
        <v/>
      </c>
      <c r="ND34" s="233" t="str">
        <f t="shared" si="102"/>
        <v/>
      </c>
      <c r="NE34" s="234" t="str">
        <f t="shared" si="14"/>
        <v/>
      </c>
      <c r="NF34" s="233" t="str">
        <f t="shared" si="15"/>
        <v/>
      </c>
      <c r="NG34" s="235"/>
      <c r="NH34" s="236" t="str">
        <f t="shared" si="103"/>
        <v/>
      </c>
      <c r="NI34" s="233" t="str">
        <f t="shared" si="16"/>
        <v/>
      </c>
      <c r="NJ34" s="237" t="str">
        <f t="shared" si="104"/>
        <v/>
      </c>
      <c r="NK34" s="238" t="str">
        <f t="shared" si="105"/>
        <v/>
      </c>
      <c r="NL34" s="239" t="str">
        <f t="shared" si="17"/>
        <v/>
      </c>
      <c r="NM34" s="240" t="str">
        <f t="shared" si="106"/>
        <v/>
      </c>
      <c r="NN34" s="240" t="str">
        <f t="shared" si="18"/>
        <v/>
      </c>
      <c r="NO34" s="241" t="str">
        <f t="shared" si="19"/>
        <v/>
      </c>
      <c r="NP34" s="242" t="str">
        <f t="shared" si="107"/>
        <v/>
      </c>
      <c r="NQ34" s="241" t="str">
        <f t="shared" si="108"/>
        <v/>
      </c>
      <c r="NR34" s="241" t="str">
        <f t="shared" si="109"/>
        <v/>
      </c>
      <c r="NS34" s="241" t="str">
        <f t="shared" si="20"/>
        <v/>
      </c>
      <c r="NT34" s="241" t="str">
        <f t="shared" si="21"/>
        <v/>
      </c>
      <c r="NU34" s="241" t="str">
        <f t="shared" si="22"/>
        <v/>
      </c>
      <c r="NV34" s="241" t="str">
        <f t="shared" si="110"/>
        <v/>
      </c>
      <c r="NW34" s="241" t="str">
        <f t="shared" si="23"/>
        <v/>
      </c>
      <c r="NX34" s="241" t="str">
        <f t="shared" si="24"/>
        <v/>
      </c>
      <c r="NY34" s="241" t="str">
        <f t="shared" si="25"/>
        <v/>
      </c>
      <c r="NZ34" s="241" t="str">
        <f t="shared" si="26"/>
        <v/>
      </c>
      <c r="OA34" s="241" t="str">
        <f t="shared" si="27"/>
        <v/>
      </c>
      <c r="OB34" s="241" t="str">
        <f t="shared" si="28"/>
        <v/>
      </c>
      <c r="OC34" s="241" t="str">
        <f t="shared" si="29"/>
        <v/>
      </c>
      <c r="OD34" s="241" t="str">
        <f t="shared" si="30"/>
        <v/>
      </c>
      <c r="OE34" s="241" t="str">
        <f t="shared" si="31"/>
        <v/>
      </c>
      <c r="OF34" s="241" t="str">
        <f t="shared" si="32"/>
        <v/>
      </c>
      <c r="OG34" s="241" t="str">
        <f t="shared" si="33"/>
        <v/>
      </c>
      <c r="OH34" s="241" t="str">
        <f t="shared" si="34"/>
        <v/>
      </c>
      <c r="OI34" s="241" t="str">
        <f t="shared" si="111"/>
        <v/>
      </c>
      <c r="OJ34" s="244" t="str">
        <f t="shared" si="112"/>
        <v/>
      </c>
      <c r="OK34" s="244" t="str">
        <f t="shared" si="113"/>
        <v/>
      </c>
      <c r="OL34" s="244" t="str">
        <f t="shared" si="114"/>
        <v/>
      </c>
      <c r="OM34" s="244" t="str">
        <f t="shared" si="115"/>
        <v/>
      </c>
      <c r="ON34" s="243" t="str">
        <f t="shared" si="35"/>
        <v/>
      </c>
      <c r="OO34" s="235"/>
      <c r="OP34" s="235"/>
      <c r="OQ34" s="244" t="str">
        <f t="shared" si="116"/>
        <v/>
      </c>
      <c r="OR34" s="244" t="str">
        <f t="shared" si="117"/>
        <v/>
      </c>
      <c r="OS34" s="250" t="str">
        <f t="shared" si="36"/>
        <v/>
      </c>
      <c r="OT34" s="250" t="str">
        <f t="shared" si="37"/>
        <v/>
      </c>
      <c r="OU34" s="245" t="str">
        <f t="shared" si="38"/>
        <v/>
      </c>
      <c r="OV34" s="245" t="str">
        <f t="shared" si="39"/>
        <v/>
      </c>
      <c r="OW34" s="234" t="str">
        <f t="shared" si="118"/>
        <v/>
      </c>
      <c r="OX34" s="246" t="str">
        <f t="shared" si="40"/>
        <v/>
      </c>
      <c r="OY34" s="233" t="str">
        <f t="shared" si="119"/>
        <v/>
      </c>
      <c r="OZ34" s="233" t="str">
        <f t="shared" si="41"/>
        <v/>
      </c>
      <c r="PA34" s="234" t="str">
        <f t="shared" si="120"/>
        <v/>
      </c>
      <c r="PB34" s="234" t="str">
        <f>IF(OR($CQ34="",$OZ34=""),"",IF($OZ34=0,0,
GuardLimitUpper(
  ($OZ34-$CQ34)/$OZ34,
  data_GuardLimitFlag,
  1)
))</f>
        <v/>
      </c>
      <c r="PC34" s="234" t="str">
        <f t="shared" si="42"/>
        <v/>
      </c>
      <c r="PD34" s="234" t="str">
        <f t="shared" si="43"/>
        <v/>
      </c>
      <c r="PE34" s="233" t="str">
        <f t="shared" si="121"/>
        <v/>
      </c>
      <c r="PF34" s="234" t="str">
        <f t="shared" si="122"/>
        <v/>
      </c>
      <c r="PG34" s="234" t="str">
        <f t="shared" si="44"/>
        <v/>
      </c>
      <c r="PH34" s="234" t="str">
        <f t="shared" si="45"/>
        <v/>
      </c>
      <c r="PI34" s="234" t="str">
        <f t="shared" si="46"/>
        <v/>
      </c>
      <c r="PJ34" s="247" t="str">
        <f t="shared" si="47"/>
        <v/>
      </c>
      <c r="PK34" s="247" t="str">
        <f t="shared" si="48"/>
        <v/>
      </c>
      <c r="PL34" s="248" t="str">
        <f t="shared" si="123"/>
        <v/>
      </c>
      <c r="PM34" s="248" t="str">
        <f t="shared" si="49"/>
        <v/>
      </c>
      <c r="PN34" s="248" t="str">
        <f t="shared" si="124"/>
        <v/>
      </c>
      <c r="PO34" s="248" t="str">
        <f t="shared" si="50"/>
        <v/>
      </c>
      <c r="PP34" s="566" t="str">
        <f t="shared" si="51"/>
        <v/>
      </c>
      <c r="PQ34" s="581" t="str">
        <f t="shared" si="125"/>
        <v/>
      </c>
      <c r="PR34" s="566" t="str">
        <f t="shared" si="52"/>
        <v/>
      </c>
      <c r="PS34" s="248" t="str">
        <f t="shared" si="53"/>
        <v/>
      </c>
      <c r="PT34" s="248" t="str">
        <f t="shared" si="126"/>
        <v/>
      </c>
      <c r="PU34" s="248" t="str">
        <f t="shared" si="54"/>
        <v/>
      </c>
      <c r="PV34" s="248" t="str">
        <f t="shared" si="127"/>
        <v/>
      </c>
      <c r="PW34" s="566" t="str">
        <f t="shared" si="55"/>
        <v/>
      </c>
      <c r="PX34" s="566" t="str">
        <f t="shared" si="161"/>
        <v/>
      </c>
      <c r="PY34" s="566" t="str">
        <f t="shared" si="56"/>
        <v/>
      </c>
      <c r="PZ34" s="248" t="str">
        <f t="shared" si="57"/>
        <v/>
      </c>
      <c r="QA34" s="248" t="str">
        <f t="shared" si="58"/>
        <v/>
      </c>
      <c r="QB34" s="248" t="str">
        <f t="shared" si="59"/>
        <v/>
      </c>
      <c r="QC34" s="248" t="str">
        <f t="shared" si="60"/>
        <v/>
      </c>
      <c r="QD34" s="248" t="str">
        <f t="shared" si="128"/>
        <v/>
      </c>
      <c r="QE34" s="248" t="str">
        <f t="shared" si="129"/>
        <v/>
      </c>
      <c r="QF34" s="248" t="str">
        <f t="shared" si="130"/>
        <v/>
      </c>
      <c r="QG34" s="249" t="str">
        <f t="shared" si="61"/>
        <v/>
      </c>
      <c r="QH34" s="249" t="str">
        <f t="shared" si="62"/>
        <v/>
      </c>
      <c r="QI34" s="249" t="str">
        <f t="shared" si="63"/>
        <v/>
      </c>
      <c r="QJ34" s="249" t="str">
        <f t="shared" si="64"/>
        <v/>
      </c>
      <c r="QK34" s="249" t="str">
        <f t="shared" si="65"/>
        <v/>
      </c>
      <c r="QL34" s="249" t="str">
        <f t="shared" si="131"/>
        <v/>
      </c>
      <c r="QM34" s="249" t="str">
        <f>IF(OR($O$8="Lv2",$O$8="Lv3",$O$8="Lv4"),IF(OR($AS34="",COUNT($PL34:$QL34)=0),"",
GuardLimitLower(
  $AS34-SUM($PL34:$QL34),
  data_GuardLimitFlag,
  0)
),"")</f>
        <v/>
      </c>
      <c r="QN34" s="249" t="str">
        <f t="shared" si="132"/>
        <v/>
      </c>
      <c r="QO34" s="251" t="str">
        <f t="shared" si="133"/>
        <v/>
      </c>
      <c r="QP34" s="251" t="str">
        <f t="shared" si="134"/>
        <v/>
      </c>
      <c r="QQ34" s="251" t="str">
        <f t="shared" si="135"/>
        <v/>
      </c>
      <c r="QR34" s="251" t="str">
        <f t="shared" si="66"/>
        <v/>
      </c>
      <c r="QS34" s="234" t="str">
        <f t="shared" si="67"/>
        <v/>
      </c>
      <c r="QT34" s="234" t="str">
        <f t="shared" si="68"/>
        <v/>
      </c>
      <c r="QU34" s="234" t="str">
        <f t="shared" si="69"/>
        <v/>
      </c>
      <c r="QV34" s="233" t="str">
        <f t="shared" si="70"/>
        <v/>
      </c>
      <c r="QW34" s="233" t="str">
        <f t="shared" si="71"/>
        <v/>
      </c>
      <c r="QX34" s="233" t="str">
        <f t="shared" si="72"/>
        <v/>
      </c>
      <c r="QY34" s="233" t="str">
        <f t="shared" si="73"/>
        <v/>
      </c>
      <c r="QZ34" s="233" t="str">
        <f t="shared" si="74"/>
        <v/>
      </c>
      <c r="RA34" s="234" t="str">
        <f t="shared" si="136"/>
        <v/>
      </c>
      <c r="RB34" s="234" t="str">
        <f t="shared" si="75"/>
        <v/>
      </c>
      <c r="RC34" s="234" t="str">
        <f t="shared" si="76"/>
        <v/>
      </c>
      <c r="RD34" s="234" t="str">
        <f t="shared" si="77"/>
        <v/>
      </c>
      <c r="RE34" s="234" t="str">
        <f t="shared" si="78"/>
        <v/>
      </c>
      <c r="RF34" s="234" t="str">
        <f t="shared" si="79"/>
        <v/>
      </c>
      <c r="RG34" s="234" t="str">
        <f t="shared" si="80"/>
        <v/>
      </c>
      <c r="RH34" s="234" t="str">
        <f t="shared" si="81"/>
        <v/>
      </c>
      <c r="RI34" s="234" t="str">
        <f t="shared" si="82"/>
        <v/>
      </c>
      <c r="RJ34" s="150"/>
      <c r="RK34" s="150"/>
      <c r="RL34" s="150"/>
      <c r="RM34" s="150"/>
      <c r="RN34" s="150"/>
      <c r="RO34" s="150"/>
      <c r="RP34" s="150"/>
      <c r="RQ34" s="150"/>
      <c r="RR34" s="249" t="str">
        <f t="shared" si="83"/>
        <v/>
      </c>
      <c r="RS34" s="253"/>
      <c r="RT34" s="253"/>
      <c r="RU34" s="233" t="str">
        <f t="shared" si="137"/>
        <v/>
      </c>
      <c r="RV34" s="233" t="str">
        <f t="shared" si="138"/>
        <v/>
      </c>
      <c r="RW34" s="233" t="str">
        <f t="shared" si="139"/>
        <v/>
      </c>
      <c r="RX34" s="233" t="str">
        <f t="shared" si="140"/>
        <v/>
      </c>
      <c r="RY34" s="233" t="str">
        <f t="shared" si="141"/>
        <v/>
      </c>
      <c r="RZ34" s="233" t="str">
        <f t="shared" si="84"/>
        <v/>
      </c>
      <c r="SA34" s="233" t="str">
        <f t="shared" si="85"/>
        <v/>
      </c>
      <c r="SB34" s="233" t="str">
        <f t="shared" si="86"/>
        <v/>
      </c>
      <c r="SC34" s="233" t="str">
        <f t="shared" si="87"/>
        <v/>
      </c>
      <c r="SD34" s="233" t="str">
        <f t="shared" si="88"/>
        <v/>
      </c>
      <c r="SE34" s="233" t="str">
        <f t="shared" si="89"/>
        <v/>
      </c>
      <c r="SF34" s="233" t="str">
        <f t="shared" si="90"/>
        <v/>
      </c>
      <c r="SG34" s="233" t="str">
        <f t="shared" si="91"/>
        <v/>
      </c>
      <c r="SH34" s="233" t="str">
        <f t="shared" si="92"/>
        <v/>
      </c>
      <c r="SI34" s="233" t="str">
        <f t="shared" si="93"/>
        <v/>
      </c>
      <c r="SJ34" s="233" t="str">
        <f t="shared" si="94"/>
        <v/>
      </c>
      <c r="SK34" s="233" t="str">
        <f t="shared" si="95"/>
        <v/>
      </c>
      <c r="SL34" s="233" t="str">
        <f t="shared" si="96"/>
        <v/>
      </c>
      <c r="SM34" s="254" t="str">
        <f t="shared" si="142"/>
        <v/>
      </c>
      <c r="SN34" s="255" t="str">
        <f t="shared" si="97"/>
        <v/>
      </c>
      <c r="SO34" s="234" t="str">
        <f t="shared" si="143"/>
        <v/>
      </c>
      <c r="SP34" s="234" t="str">
        <f t="shared" si="144"/>
        <v/>
      </c>
      <c r="SQ34" s="249" t="str">
        <f t="shared" si="145"/>
        <v/>
      </c>
      <c r="SR34" s="249" t="str">
        <f t="shared" si="146"/>
        <v/>
      </c>
      <c r="SS34" s="249" t="str">
        <f t="shared" si="147"/>
        <v/>
      </c>
      <c r="ST34" s="249" t="str">
        <f t="shared" si="148"/>
        <v/>
      </c>
      <c r="SU34" s="249" t="str">
        <f t="shared" si="149"/>
        <v/>
      </c>
      <c r="SV34" s="249" t="str">
        <f t="shared" si="150"/>
        <v/>
      </c>
      <c r="SW34" s="249" t="str">
        <f t="shared" si="151"/>
        <v/>
      </c>
      <c r="SX34" s="249" t="str">
        <f t="shared" si="152"/>
        <v/>
      </c>
      <c r="SY34" s="249" t="str">
        <f t="shared" si="153"/>
        <v/>
      </c>
      <c r="SZ34" s="249" t="str">
        <f t="shared" si="154"/>
        <v/>
      </c>
      <c r="TA34" s="249" t="str">
        <f t="shared" si="155"/>
        <v/>
      </c>
      <c r="TB34" s="249" t="str">
        <f t="shared" si="156"/>
        <v/>
      </c>
      <c r="TC34" s="249" t="str">
        <f t="shared" si="98"/>
        <v/>
      </c>
      <c r="TD34" s="249" t="str">
        <f t="shared" si="157"/>
        <v/>
      </c>
      <c r="TE34" s="249" t="str">
        <f t="shared" si="158"/>
        <v/>
      </c>
      <c r="TF34" s="249" t="str">
        <f t="shared" si="159"/>
        <v/>
      </c>
      <c r="TG34" s="249" t="str">
        <f t="shared" si="160"/>
        <v/>
      </c>
      <c r="TQ34" s="406"/>
      <c r="TR34" s="406"/>
      <c r="TS34" s="420"/>
      <c r="TT34" s="420"/>
      <c r="TU34" s="420"/>
      <c r="TV34" s="420"/>
      <c r="TW34" s="287"/>
      <c r="UC34" s="406"/>
      <c r="UD34" s="406"/>
      <c r="UE34" s="420"/>
      <c r="UF34" s="420"/>
      <c r="UG34" s="420"/>
      <c r="UH34" s="420"/>
      <c r="UI34" s="287"/>
      <c r="VM34" s="284" t="s">
        <v>888</v>
      </c>
      <c r="VQ34" s="284" t="s">
        <v>888</v>
      </c>
      <c r="WC34" s="270"/>
      <c r="WD34" s="270"/>
      <c r="WE34" s="270"/>
      <c r="WF34" s="270"/>
      <c r="WG34" s="270"/>
      <c r="WH34" s="270"/>
      <c r="WI34" s="270"/>
      <c r="WJ34" s="270"/>
      <c r="WK34" s="270"/>
      <c r="WL34" s="270"/>
      <c r="WM34" s="270"/>
      <c r="WN34" s="270"/>
      <c r="WO34" s="270"/>
      <c r="WP34" s="270"/>
      <c r="WQ34" s="270"/>
      <c r="WR34" s="270"/>
      <c r="WS34" s="270"/>
    </row>
    <row r="35" spans="28:617" x14ac:dyDescent="0.25">
      <c r="AB35" s="287">
        <v>5</v>
      </c>
      <c r="AC35" s="637"/>
      <c r="AD35" s="637"/>
      <c r="AE35" s="637"/>
      <c r="AF35" s="637"/>
      <c r="AG35" s="637"/>
      <c r="AH35" s="637"/>
      <c r="AI35" s="637"/>
      <c r="AJ35" s="637"/>
      <c r="AK35" s="638"/>
      <c r="AL35" s="638"/>
      <c r="AM35" s="637"/>
      <c r="AN35" s="637"/>
      <c r="AO35" s="637"/>
      <c r="AP35" s="637"/>
      <c r="AQ35" s="639"/>
      <c r="AR35" s="639"/>
      <c r="AS35" s="638"/>
      <c r="AT35" s="638"/>
      <c r="AU35" s="637"/>
      <c r="AV35" s="637"/>
      <c r="AW35" s="637"/>
      <c r="AX35" s="637"/>
      <c r="AY35" s="637"/>
      <c r="AZ35" s="637"/>
      <c r="BA35" s="637"/>
      <c r="BB35" s="637"/>
      <c r="BC35" s="637"/>
      <c r="BD35" s="637"/>
      <c r="BE35" s="637"/>
      <c r="BF35" s="639"/>
      <c r="BG35" s="637"/>
      <c r="BH35" s="639"/>
      <c r="BI35" s="637"/>
      <c r="BJ35" s="637"/>
      <c r="BK35" s="637"/>
      <c r="BL35" s="637"/>
      <c r="BM35" s="637"/>
      <c r="BN35" s="637"/>
      <c r="BO35" s="637"/>
      <c r="BP35" s="637"/>
      <c r="BQ35" s="637"/>
      <c r="BR35" s="637"/>
      <c r="BS35" s="637"/>
      <c r="BT35" s="637"/>
      <c r="BU35" s="637"/>
      <c r="BV35" s="637"/>
      <c r="BW35" s="638"/>
      <c r="BX35" s="638"/>
      <c r="BY35" s="637"/>
      <c r="BZ35" s="637"/>
      <c r="CA35" s="637"/>
      <c r="CB35" s="637"/>
      <c r="CC35" s="637"/>
      <c r="CD35" s="637"/>
      <c r="CE35" s="637"/>
      <c r="CF35" s="637"/>
      <c r="CG35" s="637"/>
      <c r="CH35" s="637"/>
      <c r="CI35" s="637"/>
      <c r="CJ35" s="637"/>
      <c r="CK35" s="637"/>
      <c r="CL35" s="637"/>
      <c r="CM35" s="637"/>
      <c r="CN35" s="637"/>
      <c r="CO35" s="637"/>
      <c r="CP35" s="637"/>
      <c r="CQ35" s="637"/>
      <c r="CR35" s="637"/>
      <c r="CS35" s="637"/>
      <c r="CT35" s="637"/>
      <c r="CU35" s="637"/>
      <c r="CV35" s="637"/>
      <c r="CW35" s="637"/>
      <c r="CX35" s="637"/>
      <c r="CY35" s="637"/>
      <c r="CZ35" s="637"/>
      <c r="DA35" s="637"/>
      <c r="DB35" s="637"/>
      <c r="DC35" s="637"/>
      <c r="DD35" s="637"/>
      <c r="DE35" s="637"/>
      <c r="DF35" s="640"/>
      <c r="DG35" s="637"/>
      <c r="DH35" s="637"/>
      <c r="DI35" s="637"/>
      <c r="DJ35" s="637"/>
      <c r="DK35" s="637"/>
      <c r="DL35" s="637"/>
      <c r="DM35" s="637"/>
      <c r="DN35" s="637"/>
      <c r="DO35" s="639"/>
      <c r="DP35" s="639"/>
      <c r="DQ35" s="639"/>
      <c r="DR35" s="639"/>
      <c r="DS35" s="639"/>
      <c r="DT35" s="639"/>
      <c r="DU35" s="639"/>
      <c r="DV35" s="639"/>
      <c r="DW35" s="639"/>
      <c r="DX35" s="639"/>
      <c r="DY35" s="639"/>
      <c r="DZ35" s="639"/>
      <c r="EA35" s="639"/>
      <c r="EB35" s="637"/>
      <c r="EC35" s="639"/>
      <c r="ED35" s="639"/>
      <c r="EE35" s="639"/>
      <c r="EF35" s="639"/>
      <c r="EG35" s="639"/>
      <c r="EH35" s="639"/>
      <c r="EI35" s="639"/>
      <c r="EJ35" s="639"/>
      <c r="EK35" s="639"/>
      <c r="EL35" s="639"/>
      <c r="EM35" s="639"/>
      <c r="EN35" s="639"/>
      <c r="EO35" s="639"/>
      <c r="EP35" s="639"/>
      <c r="EQ35" s="639"/>
      <c r="ER35" s="639"/>
      <c r="ES35" s="637"/>
      <c r="ET35" s="639"/>
      <c r="EU35" s="639"/>
      <c r="EV35" s="639"/>
      <c r="EW35" s="639"/>
      <c r="EX35" s="639"/>
      <c r="EY35" s="639"/>
      <c r="EZ35" s="639"/>
      <c r="FA35" s="639"/>
      <c r="FB35" s="639"/>
      <c r="FC35" s="639"/>
      <c r="FD35" s="639"/>
      <c r="FE35" s="639"/>
      <c r="FF35" s="639"/>
      <c r="FG35" s="639"/>
      <c r="FH35" s="639"/>
      <c r="FI35" s="639"/>
      <c r="FJ35" s="639"/>
      <c r="FK35" s="639"/>
      <c r="FL35" s="639"/>
      <c r="FM35" s="639"/>
      <c r="FN35" s="639"/>
      <c r="FO35" s="637"/>
      <c r="FP35" s="637"/>
      <c r="FQ35" s="639"/>
      <c r="FR35" s="639"/>
      <c r="FS35" s="639"/>
      <c r="FT35" s="639"/>
      <c r="FU35" s="639"/>
      <c r="FV35" s="639"/>
      <c r="FW35" s="639"/>
      <c r="FX35" s="639"/>
      <c r="FY35" s="639"/>
      <c r="FZ35" s="639"/>
      <c r="GA35" s="639"/>
      <c r="GB35" s="639"/>
      <c r="GC35" s="639"/>
      <c r="GD35" s="639"/>
      <c r="GE35" s="639"/>
      <c r="GF35" s="639"/>
      <c r="GG35" s="639"/>
      <c r="GH35" s="639"/>
      <c r="GI35" s="639"/>
      <c r="GJ35" s="639"/>
      <c r="GK35" s="639"/>
      <c r="GL35" s="639"/>
      <c r="GM35" s="639"/>
      <c r="GN35" s="639"/>
      <c r="GO35" s="639"/>
      <c r="GP35" s="639"/>
      <c r="GQ35" s="639"/>
      <c r="GR35" s="639"/>
      <c r="GS35" s="639"/>
      <c r="GT35" s="639"/>
      <c r="GU35" s="639"/>
      <c r="GV35" s="639"/>
      <c r="GW35" s="639"/>
      <c r="GX35" s="639"/>
      <c r="GY35" s="639"/>
      <c r="GZ35" s="639"/>
      <c r="HA35" s="639"/>
      <c r="HB35" s="639"/>
      <c r="HC35" s="639"/>
      <c r="HD35" s="639"/>
      <c r="HE35" s="639"/>
      <c r="HF35" s="639"/>
      <c r="HG35" s="639"/>
      <c r="HH35" s="639"/>
      <c r="HI35" s="639"/>
      <c r="HJ35" s="639"/>
      <c r="HK35" s="639"/>
      <c r="HL35" s="639"/>
      <c r="HM35" s="639"/>
      <c r="HN35" s="639"/>
      <c r="HO35" s="639"/>
      <c r="HP35" s="639"/>
      <c r="HQ35" s="639"/>
      <c r="HR35" s="639"/>
      <c r="HS35" s="639"/>
      <c r="HT35" s="639"/>
      <c r="HU35" s="639"/>
      <c r="HV35" s="639"/>
      <c r="HW35" s="639"/>
      <c r="HX35" s="639"/>
      <c r="HY35" s="639"/>
      <c r="HZ35" s="639"/>
      <c r="IA35" s="639"/>
      <c r="IB35" s="639"/>
      <c r="IC35" s="639"/>
      <c r="ID35" s="639"/>
      <c r="IE35" s="639"/>
      <c r="IF35" s="639"/>
      <c r="IG35" s="639"/>
      <c r="IH35" s="639"/>
      <c r="II35" s="639"/>
      <c r="IJ35" s="639"/>
      <c r="IK35" s="639"/>
      <c r="IL35" s="639"/>
      <c r="IM35" s="639"/>
      <c r="IN35" s="639"/>
      <c r="IO35" s="639"/>
      <c r="IP35" s="639"/>
      <c r="IQ35" s="639"/>
      <c r="IR35" s="639"/>
      <c r="IS35" s="639"/>
      <c r="IT35" s="639"/>
      <c r="IU35" s="639"/>
      <c r="IV35" s="639"/>
      <c r="IW35" s="639"/>
      <c r="IX35" s="639"/>
      <c r="IY35" s="639"/>
      <c r="IZ35" s="639"/>
      <c r="JA35" s="639"/>
      <c r="JB35" s="639"/>
      <c r="JC35" s="639"/>
      <c r="JD35" s="639"/>
      <c r="JE35" s="639"/>
      <c r="JF35" s="639"/>
      <c r="JG35" s="639"/>
      <c r="JH35" s="639"/>
      <c r="JI35" s="639"/>
      <c r="JJ35" s="639"/>
      <c r="JK35" s="639"/>
      <c r="JL35" s="639"/>
      <c r="JM35" s="639"/>
      <c r="JN35" s="639"/>
      <c r="JO35" s="639"/>
      <c r="JP35" s="639"/>
      <c r="JQ35" s="639"/>
      <c r="JR35" s="639"/>
      <c r="JS35" s="639"/>
      <c r="JT35" s="639"/>
      <c r="JU35" s="639"/>
      <c r="JV35" s="639"/>
      <c r="JW35" s="639"/>
      <c r="JX35" s="639"/>
      <c r="JY35" s="639"/>
      <c r="JZ35" s="639"/>
      <c r="KA35" s="639"/>
      <c r="KB35" s="639"/>
      <c r="KC35" s="639"/>
      <c r="KD35" s="639"/>
      <c r="KE35" s="639"/>
      <c r="KF35" s="639"/>
      <c r="KG35" s="639"/>
      <c r="KH35" s="639"/>
      <c r="KI35" s="639"/>
      <c r="KJ35" s="639"/>
      <c r="KK35" s="639"/>
      <c r="KL35" s="639"/>
      <c r="KM35" s="639"/>
      <c r="KN35" s="639"/>
      <c r="KO35" s="639"/>
      <c r="KP35" s="639"/>
      <c r="KQ35" s="639"/>
      <c r="KR35" s="639"/>
      <c r="KS35" s="639"/>
      <c r="KT35" s="639"/>
      <c r="KU35" s="639"/>
      <c r="KV35" s="639"/>
      <c r="KW35" s="639"/>
      <c r="KX35" s="639"/>
      <c r="KY35" s="639"/>
      <c r="KZ35" s="639"/>
      <c r="LA35" s="639"/>
      <c r="LB35" s="639"/>
      <c r="LC35" s="639"/>
      <c r="LD35" s="639"/>
      <c r="LE35" s="639"/>
      <c r="LF35" s="639"/>
      <c r="LG35" s="639"/>
      <c r="LH35" s="639"/>
      <c r="LI35" s="639"/>
      <c r="LJ35" s="639"/>
      <c r="LK35" s="639"/>
      <c r="LL35" s="639"/>
      <c r="LM35" s="639"/>
      <c r="LN35" s="639"/>
      <c r="LO35" s="639"/>
      <c r="LP35" s="639"/>
      <c r="LQ35" s="639"/>
      <c r="LR35" s="639"/>
      <c r="LS35" s="639"/>
      <c r="LT35" s="639"/>
      <c r="LU35" s="639"/>
      <c r="LV35" s="639"/>
      <c r="MC35" s="299" t="s">
        <v>1789</v>
      </c>
      <c r="MD35" s="417"/>
      <c r="ME35" s="418"/>
      <c r="MF35" s="418"/>
      <c r="MG35" s="418"/>
      <c r="MH35" s="418"/>
      <c r="MI35" s="418"/>
      <c r="MJ35" s="418"/>
      <c r="MK35" s="418"/>
      <c r="ML35" s="418"/>
      <c r="MM35" s="418"/>
      <c r="MN35" s="418"/>
      <c r="MO35" s="418"/>
      <c r="MP35" s="418"/>
      <c r="MQ35" s="418"/>
      <c r="MR35" s="418"/>
      <c r="MS35" s="418"/>
      <c r="MT35" s="419"/>
      <c r="NA35" s="470" t="str">
        <f t="shared" si="99"/>
        <v/>
      </c>
      <c r="NB35" s="470" t="str">
        <f t="shared" si="100"/>
        <v/>
      </c>
      <c r="NC35" s="232" t="str">
        <f t="shared" si="101"/>
        <v/>
      </c>
      <c r="ND35" s="233" t="str">
        <f t="shared" si="102"/>
        <v/>
      </c>
      <c r="NE35" s="234" t="str">
        <f t="shared" si="14"/>
        <v/>
      </c>
      <c r="NF35" s="233" t="str">
        <f t="shared" si="15"/>
        <v/>
      </c>
      <c r="NG35" s="235"/>
      <c r="NH35" s="236" t="str">
        <f t="shared" si="103"/>
        <v/>
      </c>
      <c r="NI35" s="233" t="str">
        <f t="shared" si="16"/>
        <v/>
      </c>
      <c r="NJ35" s="237" t="str">
        <f t="shared" si="104"/>
        <v/>
      </c>
      <c r="NK35" s="238" t="str">
        <f t="shared" si="105"/>
        <v/>
      </c>
      <c r="NL35" s="239" t="str">
        <f t="shared" si="17"/>
        <v/>
      </c>
      <c r="NM35" s="240" t="str">
        <f t="shared" si="106"/>
        <v/>
      </c>
      <c r="NN35" s="240" t="str">
        <f t="shared" si="18"/>
        <v/>
      </c>
      <c r="NO35" s="241" t="str">
        <f t="shared" si="19"/>
        <v/>
      </c>
      <c r="NP35" s="242" t="str">
        <f t="shared" si="107"/>
        <v/>
      </c>
      <c r="NQ35" s="241" t="str">
        <f t="shared" si="108"/>
        <v/>
      </c>
      <c r="NR35" s="241" t="str">
        <f t="shared" si="109"/>
        <v/>
      </c>
      <c r="NS35" s="241" t="str">
        <f t="shared" si="20"/>
        <v/>
      </c>
      <c r="NT35" s="241" t="str">
        <f t="shared" si="21"/>
        <v/>
      </c>
      <c r="NU35" s="241" t="str">
        <f t="shared" si="22"/>
        <v/>
      </c>
      <c r="NV35" s="241" t="str">
        <f t="shared" si="110"/>
        <v/>
      </c>
      <c r="NW35" s="241" t="str">
        <f t="shared" si="23"/>
        <v/>
      </c>
      <c r="NX35" s="241" t="str">
        <f t="shared" si="24"/>
        <v/>
      </c>
      <c r="NY35" s="241" t="str">
        <f t="shared" si="25"/>
        <v/>
      </c>
      <c r="NZ35" s="241" t="str">
        <f t="shared" si="26"/>
        <v/>
      </c>
      <c r="OA35" s="241" t="str">
        <f t="shared" si="27"/>
        <v/>
      </c>
      <c r="OB35" s="241" t="str">
        <f t="shared" si="28"/>
        <v/>
      </c>
      <c r="OC35" s="241" t="str">
        <f t="shared" si="29"/>
        <v/>
      </c>
      <c r="OD35" s="241" t="str">
        <f t="shared" si="30"/>
        <v/>
      </c>
      <c r="OE35" s="241" t="str">
        <f t="shared" si="31"/>
        <v/>
      </c>
      <c r="OF35" s="241" t="str">
        <f t="shared" si="32"/>
        <v/>
      </c>
      <c r="OG35" s="241" t="str">
        <f t="shared" si="33"/>
        <v/>
      </c>
      <c r="OH35" s="241" t="str">
        <f t="shared" si="34"/>
        <v/>
      </c>
      <c r="OI35" s="241" t="str">
        <f t="shared" si="111"/>
        <v/>
      </c>
      <c r="OJ35" s="244" t="str">
        <f t="shared" si="112"/>
        <v/>
      </c>
      <c r="OK35" s="244" t="str">
        <f t="shared" si="113"/>
        <v/>
      </c>
      <c r="OL35" s="244" t="str">
        <f t="shared" si="114"/>
        <v/>
      </c>
      <c r="OM35" s="244" t="str">
        <f t="shared" si="115"/>
        <v/>
      </c>
      <c r="ON35" s="243" t="str">
        <f t="shared" si="35"/>
        <v/>
      </c>
      <c r="OO35" s="235"/>
      <c r="OP35" s="235"/>
      <c r="OQ35" s="244" t="str">
        <f t="shared" si="116"/>
        <v/>
      </c>
      <c r="OR35" s="244" t="str">
        <f t="shared" si="117"/>
        <v/>
      </c>
      <c r="OS35" s="250" t="str">
        <f t="shared" si="36"/>
        <v/>
      </c>
      <c r="OT35" s="250" t="str">
        <f t="shared" si="37"/>
        <v/>
      </c>
      <c r="OU35" s="245" t="str">
        <f t="shared" si="38"/>
        <v/>
      </c>
      <c r="OV35" s="245" t="str">
        <f t="shared" si="39"/>
        <v/>
      </c>
      <c r="OW35" s="234" t="str">
        <f t="shared" si="118"/>
        <v/>
      </c>
      <c r="OX35" s="246" t="str">
        <f t="shared" si="40"/>
        <v/>
      </c>
      <c r="OY35" s="233" t="str">
        <f t="shared" si="119"/>
        <v/>
      </c>
      <c r="OZ35" s="233" t="str">
        <f t="shared" si="41"/>
        <v/>
      </c>
      <c r="PA35" s="234" t="str">
        <f t="shared" si="120"/>
        <v/>
      </c>
      <c r="PB35" s="234" t="str">
        <f>IF(OR($CQ35="",$OZ35=""),"",IF($OZ35=0,0,
GuardLimitUpper(
  ($OZ35-$CQ35)/$OZ35,
  data_GuardLimitFlag,
  1)
))</f>
        <v/>
      </c>
      <c r="PC35" s="234" t="str">
        <f t="shared" si="42"/>
        <v/>
      </c>
      <c r="PD35" s="234" t="str">
        <f t="shared" si="43"/>
        <v/>
      </c>
      <c r="PE35" s="233" t="str">
        <f t="shared" si="121"/>
        <v/>
      </c>
      <c r="PF35" s="234" t="str">
        <f t="shared" si="122"/>
        <v/>
      </c>
      <c r="PG35" s="234" t="str">
        <f t="shared" si="44"/>
        <v/>
      </c>
      <c r="PH35" s="234" t="str">
        <f t="shared" si="45"/>
        <v/>
      </c>
      <c r="PI35" s="234" t="str">
        <f t="shared" si="46"/>
        <v/>
      </c>
      <c r="PJ35" s="247" t="str">
        <f t="shared" si="47"/>
        <v/>
      </c>
      <c r="PK35" s="247" t="str">
        <f t="shared" si="48"/>
        <v/>
      </c>
      <c r="PL35" s="248" t="str">
        <f t="shared" si="123"/>
        <v/>
      </c>
      <c r="PM35" s="248" t="str">
        <f t="shared" si="49"/>
        <v/>
      </c>
      <c r="PN35" s="248" t="str">
        <f t="shared" si="124"/>
        <v/>
      </c>
      <c r="PO35" s="248" t="str">
        <f t="shared" si="50"/>
        <v/>
      </c>
      <c r="PP35" s="566" t="str">
        <f t="shared" si="51"/>
        <v/>
      </c>
      <c r="PQ35" s="581" t="str">
        <f t="shared" si="125"/>
        <v/>
      </c>
      <c r="PR35" s="566" t="str">
        <f t="shared" si="52"/>
        <v/>
      </c>
      <c r="PS35" s="248" t="str">
        <f t="shared" si="53"/>
        <v/>
      </c>
      <c r="PT35" s="248" t="str">
        <f t="shared" si="126"/>
        <v/>
      </c>
      <c r="PU35" s="248" t="str">
        <f t="shared" si="54"/>
        <v/>
      </c>
      <c r="PV35" s="248" t="str">
        <f t="shared" si="127"/>
        <v/>
      </c>
      <c r="PW35" s="566" t="str">
        <f t="shared" si="55"/>
        <v/>
      </c>
      <c r="PX35" s="566" t="str">
        <f t="shared" si="161"/>
        <v/>
      </c>
      <c r="PY35" s="566" t="str">
        <f t="shared" si="56"/>
        <v/>
      </c>
      <c r="PZ35" s="248" t="str">
        <f t="shared" si="57"/>
        <v/>
      </c>
      <c r="QA35" s="248" t="str">
        <f t="shared" si="58"/>
        <v/>
      </c>
      <c r="QB35" s="248" t="str">
        <f t="shared" si="59"/>
        <v/>
      </c>
      <c r="QC35" s="248" t="str">
        <f t="shared" si="60"/>
        <v/>
      </c>
      <c r="QD35" s="248" t="str">
        <f t="shared" si="128"/>
        <v/>
      </c>
      <c r="QE35" s="248" t="str">
        <f t="shared" si="129"/>
        <v/>
      </c>
      <c r="QF35" s="248" t="str">
        <f t="shared" si="130"/>
        <v/>
      </c>
      <c r="QG35" s="249" t="str">
        <f t="shared" si="61"/>
        <v/>
      </c>
      <c r="QH35" s="249" t="str">
        <f t="shared" si="62"/>
        <v/>
      </c>
      <c r="QI35" s="249" t="str">
        <f t="shared" si="63"/>
        <v/>
      </c>
      <c r="QJ35" s="249" t="str">
        <f t="shared" si="64"/>
        <v/>
      </c>
      <c r="QK35" s="249" t="str">
        <f t="shared" si="65"/>
        <v/>
      </c>
      <c r="QL35" s="249" t="str">
        <f t="shared" si="131"/>
        <v/>
      </c>
      <c r="QM35" s="249" t="str">
        <f>IF(OR($O$8="Lv2",$O$8="Lv3",$O$8="Lv4"),IF(OR($AS35="",COUNT($PL35:$QL35)=0),"",
GuardLimitLower(
  $AS35-SUM($PL35:$QL35),
  data_GuardLimitFlag,
  0)
),"")</f>
        <v/>
      </c>
      <c r="QN35" s="249" t="str">
        <f t="shared" si="132"/>
        <v/>
      </c>
      <c r="QO35" s="251" t="str">
        <f t="shared" si="133"/>
        <v/>
      </c>
      <c r="QP35" s="251" t="str">
        <f t="shared" si="134"/>
        <v/>
      </c>
      <c r="QQ35" s="251" t="str">
        <f t="shared" si="135"/>
        <v/>
      </c>
      <c r="QR35" s="251" t="str">
        <f t="shared" si="66"/>
        <v/>
      </c>
      <c r="QS35" s="234" t="str">
        <f t="shared" si="67"/>
        <v/>
      </c>
      <c r="QT35" s="234" t="str">
        <f t="shared" si="68"/>
        <v/>
      </c>
      <c r="QU35" s="234" t="str">
        <f t="shared" si="69"/>
        <v/>
      </c>
      <c r="QV35" s="233" t="str">
        <f t="shared" si="70"/>
        <v/>
      </c>
      <c r="QW35" s="233" t="str">
        <f t="shared" si="71"/>
        <v/>
      </c>
      <c r="QX35" s="233" t="str">
        <f t="shared" si="72"/>
        <v/>
      </c>
      <c r="QY35" s="233" t="str">
        <f t="shared" si="73"/>
        <v/>
      </c>
      <c r="QZ35" s="233" t="str">
        <f t="shared" si="74"/>
        <v/>
      </c>
      <c r="RA35" s="234" t="str">
        <f t="shared" si="136"/>
        <v/>
      </c>
      <c r="RB35" s="234" t="str">
        <f t="shared" si="75"/>
        <v/>
      </c>
      <c r="RC35" s="234" t="str">
        <f t="shared" si="76"/>
        <v/>
      </c>
      <c r="RD35" s="234" t="str">
        <f t="shared" si="77"/>
        <v/>
      </c>
      <c r="RE35" s="234" t="str">
        <f t="shared" si="78"/>
        <v/>
      </c>
      <c r="RF35" s="234" t="str">
        <f t="shared" si="79"/>
        <v/>
      </c>
      <c r="RG35" s="234" t="str">
        <f t="shared" si="80"/>
        <v/>
      </c>
      <c r="RH35" s="234" t="str">
        <f t="shared" si="81"/>
        <v/>
      </c>
      <c r="RI35" s="234" t="str">
        <f t="shared" si="82"/>
        <v/>
      </c>
      <c r="RJ35" s="150"/>
      <c r="RK35" s="150"/>
      <c r="RL35" s="150"/>
      <c r="RM35" s="150"/>
      <c r="RN35" s="150"/>
      <c r="RO35" s="150"/>
      <c r="RP35" s="150"/>
      <c r="RQ35" s="150"/>
      <c r="RR35" s="249" t="str">
        <f t="shared" si="83"/>
        <v/>
      </c>
      <c r="RS35" s="253"/>
      <c r="RT35" s="253"/>
      <c r="RU35" s="233" t="str">
        <f t="shared" si="137"/>
        <v/>
      </c>
      <c r="RV35" s="233" t="str">
        <f t="shared" si="138"/>
        <v/>
      </c>
      <c r="RW35" s="233" t="str">
        <f t="shared" si="139"/>
        <v/>
      </c>
      <c r="RX35" s="233" t="str">
        <f t="shared" si="140"/>
        <v/>
      </c>
      <c r="RY35" s="233" t="str">
        <f t="shared" si="141"/>
        <v/>
      </c>
      <c r="RZ35" s="233" t="str">
        <f t="shared" si="84"/>
        <v/>
      </c>
      <c r="SA35" s="233" t="str">
        <f t="shared" si="85"/>
        <v/>
      </c>
      <c r="SB35" s="233" t="str">
        <f t="shared" si="86"/>
        <v/>
      </c>
      <c r="SC35" s="233" t="str">
        <f t="shared" si="87"/>
        <v/>
      </c>
      <c r="SD35" s="233" t="str">
        <f t="shared" si="88"/>
        <v/>
      </c>
      <c r="SE35" s="233" t="str">
        <f t="shared" si="89"/>
        <v/>
      </c>
      <c r="SF35" s="233" t="str">
        <f t="shared" si="90"/>
        <v/>
      </c>
      <c r="SG35" s="233" t="str">
        <f t="shared" si="91"/>
        <v/>
      </c>
      <c r="SH35" s="233" t="str">
        <f t="shared" si="92"/>
        <v/>
      </c>
      <c r="SI35" s="233" t="str">
        <f t="shared" si="93"/>
        <v/>
      </c>
      <c r="SJ35" s="233" t="str">
        <f t="shared" si="94"/>
        <v/>
      </c>
      <c r="SK35" s="233" t="str">
        <f t="shared" si="95"/>
        <v/>
      </c>
      <c r="SL35" s="233" t="str">
        <f t="shared" si="96"/>
        <v/>
      </c>
      <c r="SM35" s="254" t="str">
        <f t="shared" si="142"/>
        <v/>
      </c>
      <c r="SN35" s="255" t="str">
        <f t="shared" si="97"/>
        <v/>
      </c>
      <c r="SO35" s="234" t="str">
        <f t="shared" si="143"/>
        <v/>
      </c>
      <c r="SP35" s="234" t="str">
        <f t="shared" si="144"/>
        <v/>
      </c>
      <c r="SQ35" s="249" t="str">
        <f t="shared" si="145"/>
        <v/>
      </c>
      <c r="SR35" s="249" t="str">
        <f t="shared" si="146"/>
        <v/>
      </c>
      <c r="SS35" s="249" t="str">
        <f t="shared" si="147"/>
        <v/>
      </c>
      <c r="ST35" s="249" t="str">
        <f t="shared" si="148"/>
        <v/>
      </c>
      <c r="SU35" s="249" t="str">
        <f t="shared" si="149"/>
        <v/>
      </c>
      <c r="SV35" s="249" t="str">
        <f t="shared" si="150"/>
        <v/>
      </c>
      <c r="SW35" s="249" t="str">
        <f t="shared" si="151"/>
        <v/>
      </c>
      <c r="SX35" s="249" t="str">
        <f t="shared" si="152"/>
        <v/>
      </c>
      <c r="SY35" s="249" t="str">
        <f t="shared" si="153"/>
        <v/>
      </c>
      <c r="SZ35" s="249" t="str">
        <f t="shared" si="154"/>
        <v/>
      </c>
      <c r="TA35" s="249" t="str">
        <f t="shared" si="155"/>
        <v/>
      </c>
      <c r="TB35" s="249" t="str">
        <f t="shared" si="156"/>
        <v/>
      </c>
      <c r="TC35" s="249" t="str">
        <f t="shared" si="98"/>
        <v/>
      </c>
      <c r="TD35" s="249" t="str">
        <f t="shared" si="157"/>
        <v/>
      </c>
      <c r="TE35" s="249" t="str">
        <f t="shared" si="158"/>
        <v/>
      </c>
      <c r="TF35" s="249" t="str">
        <f t="shared" si="159"/>
        <v/>
      </c>
      <c r="TG35" s="249" t="str">
        <f t="shared" si="160"/>
        <v/>
      </c>
      <c r="TQ35" s="423"/>
      <c r="TR35" s="422"/>
      <c r="TS35" s="420"/>
      <c r="TT35" s="420"/>
      <c r="TU35" s="420"/>
      <c r="TV35" s="420"/>
      <c r="TW35" s="287"/>
      <c r="UC35" s="423"/>
      <c r="UD35" s="422"/>
      <c r="UE35" s="420"/>
      <c r="UF35" s="420"/>
      <c r="UG35" s="420"/>
      <c r="UH35" s="420"/>
      <c r="UI35" s="287"/>
      <c r="WC35" s="270"/>
      <c r="WD35" s="270"/>
      <c r="WE35" s="270"/>
      <c r="WF35" s="270"/>
      <c r="WG35" s="270"/>
      <c r="WH35" s="270"/>
      <c r="WI35" s="270"/>
      <c r="WJ35" s="270"/>
      <c r="WK35" s="270"/>
      <c r="WL35" s="270"/>
      <c r="WM35" s="270"/>
      <c r="WN35" s="270"/>
      <c r="WO35" s="270"/>
      <c r="WP35" s="270"/>
      <c r="WQ35" s="270"/>
      <c r="WR35" s="270"/>
      <c r="WS35" s="270"/>
    </row>
    <row r="36" spans="28:617" x14ac:dyDescent="0.25">
      <c r="AB36" s="287">
        <v>6</v>
      </c>
      <c r="AC36" s="637"/>
      <c r="AD36" s="637"/>
      <c r="AE36" s="637"/>
      <c r="AF36" s="637"/>
      <c r="AG36" s="637"/>
      <c r="AH36" s="637"/>
      <c r="AI36" s="637"/>
      <c r="AJ36" s="637"/>
      <c r="AK36" s="638"/>
      <c r="AL36" s="638"/>
      <c r="AM36" s="637"/>
      <c r="AN36" s="637"/>
      <c r="AO36" s="637"/>
      <c r="AP36" s="637"/>
      <c r="AQ36" s="639"/>
      <c r="AR36" s="639"/>
      <c r="AS36" s="638"/>
      <c r="AT36" s="638"/>
      <c r="AU36" s="637"/>
      <c r="AV36" s="637"/>
      <c r="AW36" s="637"/>
      <c r="AX36" s="637"/>
      <c r="AY36" s="637"/>
      <c r="AZ36" s="637"/>
      <c r="BA36" s="637"/>
      <c r="BB36" s="637"/>
      <c r="BC36" s="637"/>
      <c r="BD36" s="637"/>
      <c r="BE36" s="637"/>
      <c r="BF36" s="639"/>
      <c r="BG36" s="637"/>
      <c r="BH36" s="639"/>
      <c r="BI36" s="637"/>
      <c r="BJ36" s="637"/>
      <c r="BK36" s="637"/>
      <c r="BL36" s="637"/>
      <c r="BM36" s="637"/>
      <c r="BN36" s="637"/>
      <c r="BO36" s="637"/>
      <c r="BP36" s="637"/>
      <c r="BQ36" s="637"/>
      <c r="BR36" s="637"/>
      <c r="BS36" s="637"/>
      <c r="BT36" s="637"/>
      <c r="BU36" s="637"/>
      <c r="BV36" s="637"/>
      <c r="BW36" s="638"/>
      <c r="BX36" s="638"/>
      <c r="BY36" s="637"/>
      <c r="BZ36" s="637"/>
      <c r="CA36" s="637"/>
      <c r="CB36" s="637"/>
      <c r="CC36" s="637"/>
      <c r="CD36" s="637"/>
      <c r="CE36" s="637"/>
      <c r="CF36" s="637"/>
      <c r="CG36" s="637"/>
      <c r="CH36" s="637"/>
      <c r="CI36" s="637"/>
      <c r="CJ36" s="637"/>
      <c r="CK36" s="637"/>
      <c r="CL36" s="637"/>
      <c r="CM36" s="637"/>
      <c r="CN36" s="637"/>
      <c r="CO36" s="637"/>
      <c r="CP36" s="637"/>
      <c r="CQ36" s="637"/>
      <c r="CR36" s="637"/>
      <c r="CS36" s="637"/>
      <c r="CT36" s="637"/>
      <c r="CU36" s="637"/>
      <c r="CV36" s="637"/>
      <c r="CW36" s="637"/>
      <c r="CX36" s="637"/>
      <c r="CY36" s="637"/>
      <c r="CZ36" s="637"/>
      <c r="DA36" s="637"/>
      <c r="DB36" s="637"/>
      <c r="DC36" s="637"/>
      <c r="DD36" s="637"/>
      <c r="DE36" s="637"/>
      <c r="DF36" s="640"/>
      <c r="DG36" s="637"/>
      <c r="DH36" s="637"/>
      <c r="DI36" s="637"/>
      <c r="DJ36" s="637"/>
      <c r="DK36" s="637"/>
      <c r="DL36" s="637"/>
      <c r="DM36" s="637"/>
      <c r="DN36" s="637"/>
      <c r="DO36" s="639"/>
      <c r="DP36" s="639"/>
      <c r="DQ36" s="639"/>
      <c r="DR36" s="639"/>
      <c r="DS36" s="639"/>
      <c r="DT36" s="639"/>
      <c r="DU36" s="639"/>
      <c r="DV36" s="639"/>
      <c r="DW36" s="639"/>
      <c r="DX36" s="639"/>
      <c r="DY36" s="639"/>
      <c r="DZ36" s="639"/>
      <c r="EA36" s="639"/>
      <c r="EB36" s="637"/>
      <c r="EC36" s="639"/>
      <c r="ED36" s="639"/>
      <c r="EE36" s="639"/>
      <c r="EF36" s="639"/>
      <c r="EG36" s="639"/>
      <c r="EH36" s="639"/>
      <c r="EI36" s="639"/>
      <c r="EJ36" s="639"/>
      <c r="EK36" s="639"/>
      <c r="EL36" s="639"/>
      <c r="EM36" s="639"/>
      <c r="EN36" s="639"/>
      <c r="EO36" s="639"/>
      <c r="EP36" s="639"/>
      <c r="EQ36" s="639"/>
      <c r="ER36" s="639"/>
      <c r="ES36" s="637"/>
      <c r="ET36" s="639"/>
      <c r="EU36" s="639"/>
      <c r="EV36" s="639"/>
      <c r="EW36" s="639"/>
      <c r="EX36" s="639"/>
      <c r="EY36" s="639"/>
      <c r="EZ36" s="639"/>
      <c r="FA36" s="639"/>
      <c r="FB36" s="639"/>
      <c r="FC36" s="639"/>
      <c r="FD36" s="639"/>
      <c r="FE36" s="639"/>
      <c r="FF36" s="639"/>
      <c r="FG36" s="639"/>
      <c r="FH36" s="639"/>
      <c r="FI36" s="639"/>
      <c r="FJ36" s="639"/>
      <c r="FK36" s="639"/>
      <c r="FL36" s="639"/>
      <c r="FM36" s="639"/>
      <c r="FN36" s="639"/>
      <c r="FO36" s="637"/>
      <c r="FP36" s="637"/>
      <c r="FQ36" s="639"/>
      <c r="FR36" s="639"/>
      <c r="FS36" s="639"/>
      <c r="FT36" s="639"/>
      <c r="FU36" s="639"/>
      <c r="FV36" s="639"/>
      <c r="FW36" s="639"/>
      <c r="FX36" s="639"/>
      <c r="FY36" s="639"/>
      <c r="FZ36" s="639"/>
      <c r="GA36" s="639"/>
      <c r="GB36" s="639"/>
      <c r="GC36" s="639"/>
      <c r="GD36" s="639"/>
      <c r="GE36" s="639"/>
      <c r="GF36" s="639"/>
      <c r="GG36" s="639"/>
      <c r="GH36" s="639"/>
      <c r="GI36" s="639"/>
      <c r="GJ36" s="639"/>
      <c r="GK36" s="639"/>
      <c r="GL36" s="639"/>
      <c r="GM36" s="639"/>
      <c r="GN36" s="639"/>
      <c r="GO36" s="639"/>
      <c r="GP36" s="639"/>
      <c r="GQ36" s="639"/>
      <c r="GR36" s="639"/>
      <c r="GS36" s="639"/>
      <c r="GT36" s="639"/>
      <c r="GU36" s="639"/>
      <c r="GV36" s="639"/>
      <c r="GW36" s="639"/>
      <c r="GX36" s="639"/>
      <c r="GY36" s="639"/>
      <c r="GZ36" s="639"/>
      <c r="HA36" s="639"/>
      <c r="HB36" s="639"/>
      <c r="HC36" s="639"/>
      <c r="HD36" s="639"/>
      <c r="HE36" s="639"/>
      <c r="HF36" s="639"/>
      <c r="HG36" s="639"/>
      <c r="HH36" s="639"/>
      <c r="HI36" s="639"/>
      <c r="HJ36" s="639"/>
      <c r="HK36" s="639"/>
      <c r="HL36" s="639"/>
      <c r="HM36" s="639"/>
      <c r="HN36" s="639"/>
      <c r="HO36" s="639"/>
      <c r="HP36" s="639"/>
      <c r="HQ36" s="639"/>
      <c r="HR36" s="639"/>
      <c r="HS36" s="639"/>
      <c r="HT36" s="639"/>
      <c r="HU36" s="639"/>
      <c r="HV36" s="639"/>
      <c r="HW36" s="639"/>
      <c r="HX36" s="639"/>
      <c r="HY36" s="639"/>
      <c r="HZ36" s="639"/>
      <c r="IA36" s="639"/>
      <c r="IB36" s="639"/>
      <c r="IC36" s="639"/>
      <c r="ID36" s="639"/>
      <c r="IE36" s="639"/>
      <c r="IF36" s="639"/>
      <c r="IG36" s="639"/>
      <c r="IH36" s="639"/>
      <c r="II36" s="639"/>
      <c r="IJ36" s="639"/>
      <c r="IK36" s="639"/>
      <c r="IL36" s="639"/>
      <c r="IM36" s="639"/>
      <c r="IN36" s="639"/>
      <c r="IO36" s="639"/>
      <c r="IP36" s="639"/>
      <c r="IQ36" s="639"/>
      <c r="IR36" s="639"/>
      <c r="IS36" s="639"/>
      <c r="IT36" s="639"/>
      <c r="IU36" s="639"/>
      <c r="IV36" s="639"/>
      <c r="IW36" s="639"/>
      <c r="IX36" s="639"/>
      <c r="IY36" s="639"/>
      <c r="IZ36" s="639"/>
      <c r="JA36" s="639"/>
      <c r="JB36" s="639"/>
      <c r="JC36" s="639"/>
      <c r="JD36" s="639"/>
      <c r="JE36" s="639"/>
      <c r="JF36" s="639"/>
      <c r="JG36" s="639"/>
      <c r="JH36" s="639"/>
      <c r="JI36" s="639"/>
      <c r="JJ36" s="639"/>
      <c r="JK36" s="639"/>
      <c r="JL36" s="639"/>
      <c r="JM36" s="639"/>
      <c r="JN36" s="639"/>
      <c r="JO36" s="639"/>
      <c r="JP36" s="639"/>
      <c r="JQ36" s="639"/>
      <c r="JR36" s="639"/>
      <c r="JS36" s="639"/>
      <c r="JT36" s="639"/>
      <c r="JU36" s="639"/>
      <c r="JV36" s="639"/>
      <c r="JW36" s="639"/>
      <c r="JX36" s="639"/>
      <c r="JY36" s="639"/>
      <c r="JZ36" s="639"/>
      <c r="KA36" s="639"/>
      <c r="KB36" s="639"/>
      <c r="KC36" s="639"/>
      <c r="KD36" s="639"/>
      <c r="KE36" s="639"/>
      <c r="KF36" s="639"/>
      <c r="KG36" s="639"/>
      <c r="KH36" s="639"/>
      <c r="KI36" s="639"/>
      <c r="KJ36" s="639"/>
      <c r="KK36" s="639"/>
      <c r="KL36" s="639"/>
      <c r="KM36" s="639"/>
      <c r="KN36" s="639"/>
      <c r="KO36" s="639"/>
      <c r="KP36" s="639"/>
      <c r="KQ36" s="639"/>
      <c r="KR36" s="639"/>
      <c r="KS36" s="639"/>
      <c r="KT36" s="639"/>
      <c r="KU36" s="639"/>
      <c r="KV36" s="639"/>
      <c r="KW36" s="639"/>
      <c r="KX36" s="639"/>
      <c r="KY36" s="639"/>
      <c r="KZ36" s="639"/>
      <c r="LA36" s="639"/>
      <c r="LB36" s="639"/>
      <c r="LC36" s="639"/>
      <c r="LD36" s="639"/>
      <c r="LE36" s="639"/>
      <c r="LF36" s="639"/>
      <c r="LG36" s="639"/>
      <c r="LH36" s="639"/>
      <c r="LI36" s="639"/>
      <c r="LJ36" s="639"/>
      <c r="LK36" s="639"/>
      <c r="LL36" s="639"/>
      <c r="LM36" s="639"/>
      <c r="LN36" s="639"/>
      <c r="LO36" s="639"/>
      <c r="LP36" s="639"/>
      <c r="LQ36" s="639"/>
      <c r="LR36" s="639"/>
      <c r="LS36" s="639"/>
      <c r="LT36" s="639"/>
      <c r="LU36" s="639"/>
      <c r="LV36" s="639"/>
      <c r="MC36" s="299" t="s">
        <v>1790</v>
      </c>
      <c r="MD36" s="417"/>
      <c r="ME36" s="418"/>
      <c r="MF36" s="418"/>
      <c r="MG36" s="418"/>
      <c r="MH36" s="418"/>
      <c r="MI36" s="418"/>
      <c r="MJ36" s="418"/>
      <c r="MK36" s="418"/>
      <c r="ML36" s="418"/>
      <c r="MM36" s="418"/>
      <c r="MN36" s="418"/>
      <c r="MO36" s="418"/>
      <c r="MP36" s="418"/>
      <c r="MQ36" s="418"/>
      <c r="MR36" s="418"/>
      <c r="MS36" s="418"/>
      <c r="MT36" s="419"/>
      <c r="NA36" s="470" t="str">
        <f t="shared" si="99"/>
        <v/>
      </c>
      <c r="NB36" s="470" t="str">
        <f t="shared" si="100"/>
        <v/>
      </c>
      <c r="NC36" s="232" t="str">
        <f t="shared" si="101"/>
        <v/>
      </c>
      <c r="ND36" s="233" t="str">
        <f t="shared" si="102"/>
        <v/>
      </c>
      <c r="NE36" s="234" t="str">
        <f t="shared" si="14"/>
        <v/>
      </c>
      <c r="NF36" s="233" t="str">
        <f t="shared" si="15"/>
        <v/>
      </c>
      <c r="NG36" s="235"/>
      <c r="NH36" s="236" t="str">
        <f t="shared" si="103"/>
        <v/>
      </c>
      <c r="NI36" s="233" t="str">
        <f t="shared" si="16"/>
        <v/>
      </c>
      <c r="NJ36" s="237" t="str">
        <f t="shared" si="104"/>
        <v/>
      </c>
      <c r="NK36" s="238" t="str">
        <f t="shared" si="105"/>
        <v/>
      </c>
      <c r="NL36" s="239" t="str">
        <f t="shared" si="17"/>
        <v/>
      </c>
      <c r="NM36" s="240" t="str">
        <f t="shared" si="106"/>
        <v/>
      </c>
      <c r="NN36" s="240" t="str">
        <f t="shared" si="18"/>
        <v/>
      </c>
      <c r="NO36" s="241" t="str">
        <f t="shared" si="19"/>
        <v/>
      </c>
      <c r="NP36" s="242" t="str">
        <f t="shared" si="107"/>
        <v/>
      </c>
      <c r="NQ36" s="241" t="str">
        <f t="shared" si="108"/>
        <v/>
      </c>
      <c r="NR36" s="241" t="str">
        <f t="shared" si="109"/>
        <v/>
      </c>
      <c r="NS36" s="241" t="str">
        <f t="shared" si="20"/>
        <v/>
      </c>
      <c r="NT36" s="241" t="str">
        <f t="shared" si="21"/>
        <v/>
      </c>
      <c r="NU36" s="241" t="str">
        <f t="shared" si="22"/>
        <v/>
      </c>
      <c r="NV36" s="241" t="str">
        <f t="shared" si="110"/>
        <v/>
      </c>
      <c r="NW36" s="241" t="str">
        <f t="shared" si="23"/>
        <v/>
      </c>
      <c r="NX36" s="241" t="str">
        <f t="shared" si="24"/>
        <v/>
      </c>
      <c r="NY36" s="241" t="str">
        <f t="shared" si="25"/>
        <v/>
      </c>
      <c r="NZ36" s="241" t="str">
        <f t="shared" si="26"/>
        <v/>
      </c>
      <c r="OA36" s="241" t="str">
        <f t="shared" si="27"/>
        <v/>
      </c>
      <c r="OB36" s="241" t="str">
        <f t="shared" si="28"/>
        <v/>
      </c>
      <c r="OC36" s="241" t="str">
        <f t="shared" si="29"/>
        <v/>
      </c>
      <c r="OD36" s="241" t="str">
        <f t="shared" si="30"/>
        <v/>
      </c>
      <c r="OE36" s="241" t="str">
        <f t="shared" si="31"/>
        <v/>
      </c>
      <c r="OF36" s="241" t="str">
        <f t="shared" si="32"/>
        <v/>
      </c>
      <c r="OG36" s="241" t="str">
        <f t="shared" si="33"/>
        <v/>
      </c>
      <c r="OH36" s="241" t="str">
        <f t="shared" si="34"/>
        <v/>
      </c>
      <c r="OI36" s="241" t="str">
        <f t="shared" si="111"/>
        <v/>
      </c>
      <c r="OJ36" s="244" t="str">
        <f t="shared" si="112"/>
        <v/>
      </c>
      <c r="OK36" s="244" t="str">
        <f t="shared" si="113"/>
        <v/>
      </c>
      <c r="OL36" s="244" t="str">
        <f t="shared" si="114"/>
        <v/>
      </c>
      <c r="OM36" s="244" t="str">
        <f t="shared" si="115"/>
        <v/>
      </c>
      <c r="ON36" s="243" t="str">
        <f t="shared" si="35"/>
        <v/>
      </c>
      <c r="OO36" s="235"/>
      <c r="OP36" s="235"/>
      <c r="OQ36" s="244" t="str">
        <f t="shared" si="116"/>
        <v/>
      </c>
      <c r="OR36" s="244" t="str">
        <f t="shared" si="117"/>
        <v/>
      </c>
      <c r="OS36" s="250" t="str">
        <f t="shared" si="36"/>
        <v/>
      </c>
      <c r="OT36" s="250" t="str">
        <f t="shared" si="37"/>
        <v/>
      </c>
      <c r="OU36" s="245" t="str">
        <f t="shared" si="38"/>
        <v/>
      </c>
      <c r="OV36" s="245" t="str">
        <f t="shared" si="39"/>
        <v/>
      </c>
      <c r="OW36" s="234" t="str">
        <f t="shared" si="118"/>
        <v/>
      </c>
      <c r="OX36" s="246" t="str">
        <f t="shared" si="40"/>
        <v/>
      </c>
      <c r="OY36" s="233" t="str">
        <f t="shared" si="119"/>
        <v/>
      </c>
      <c r="OZ36" s="233" t="str">
        <f t="shared" si="41"/>
        <v/>
      </c>
      <c r="PA36" s="234" t="str">
        <f t="shared" si="120"/>
        <v/>
      </c>
      <c r="PB36" s="234" t="str">
        <f>IF(OR($CQ36="",$OZ36=""),"",IF($OZ36=0,0,
GuardLimitUpper(
  ($OZ36-$CQ36)/$OZ36,
  data_GuardLimitFlag,
  1)
))</f>
        <v/>
      </c>
      <c r="PC36" s="234" t="str">
        <f t="shared" si="42"/>
        <v/>
      </c>
      <c r="PD36" s="234" t="str">
        <f t="shared" si="43"/>
        <v/>
      </c>
      <c r="PE36" s="233" t="str">
        <f t="shared" si="121"/>
        <v/>
      </c>
      <c r="PF36" s="234" t="str">
        <f t="shared" si="122"/>
        <v/>
      </c>
      <c r="PG36" s="234" t="str">
        <f t="shared" si="44"/>
        <v/>
      </c>
      <c r="PH36" s="234" t="str">
        <f t="shared" si="45"/>
        <v/>
      </c>
      <c r="PI36" s="234" t="str">
        <f t="shared" si="46"/>
        <v/>
      </c>
      <c r="PJ36" s="247" t="str">
        <f t="shared" si="47"/>
        <v/>
      </c>
      <c r="PK36" s="247" t="str">
        <f t="shared" si="48"/>
        <v/>
      </c>
      <c r="PL36" s="248" t="str">
        <f t="shared" si="123"/>
        <v/>
      </c>
      <c r="PM36" s="248" t="str">
        <f t="shared" si="49"/>
        <v/>
      </c>
      <c r="PN36" s="248" t="str">
        <f t="shared" si="124"/>
        <v/>
      </c>
      <c r="PO36" s="248" t="str">
        <f t="shared" si="50"/>
        <v/>
      </c>
      <c r="PP36" s="566" t="str">
        <f t="shared" si="51"/>
        <v/>
      </c>
      <c r="PQ36" s="581" t="str">
        <f t="shared" si="125"/>
        <v/>
      </c>
      <c r="PR36" s="566" t="str">
        <f t="shared" si="52"/>
        <v/>
      </c>
      <c r="PS36" s="248" t="str">
        <f t="shared" si="53"/>
        <v/>
      </c>
      <c r="PT36" s="248" t="str">
        <f t="shared" si="126"/>
        <v/>
      </c>
      <c r="PU36" s="248" t="str">
        <f t="shared" si="54"/>
        <v/>
      </c>
      <c r="PV36" s="248" t="str">
        <f t="shared" si="127"/>
        <v/>
      </c>
      <c r="PW36" s="566" t="str">
        <f t="shared" si="55"/>
        <v/>
      </c>
      <c r="PX36" s="566" t="str">
        <f t="shared" si="161"/>
        <v/>
      </c>
      <c r="PY36" s="566" t="str">
        <f t="shared" si="56"/>
        <v/>
      </c>
      <c r="PZ36" s="248" t="str">
        <f t="shared" si="57"/>
        <v/>
      </c>
      <c r="QA36" s="248" t="str">
        <f t="shared" si="58"/>
        <v/>
      </c>
      <c r="QB36" s="248" t="str">
        <f t="shared" si="59"/>
        <v/>
      </c>
      <c r="QC36" s="248" t="str">
        <f t="shared" si="60"/>
        <v/>
      </c>
      <c r="QD36" s="248" t="str">
        <f t="shared" si="128"/>
        <v/>
      </c>
      <c r="QE36" s="248" t="str">
        <f t="shared" si="129"/>
        <v/>
      </c>
      <c r="QF36" s="248" t="str">
        <f t="shared" si="130"/>
        <v/>
      </c>
      <c r="QG36" s="249" t="str">
        <f t="shared" si="61"/>
        <v/>
      </c>
      <c r="QH36" s="249" t="str">
        <f t="shared" si="62"/>
        <v/>
      </c>
      <c r="QI36" s="249" t="str">
        <f t="shared" si="63"/>
        <v/>
      </c>
      <c r="QJ36" s="249" t="str">
        <f t="shared" si="64"/>
        <v/>
      </c>
      <c r="QK36" s="249" t="str">
        <f t="shared" si="65"/>
        <v/>
      </c>
      <c r="QL36" s="249" t="str">
        <f t="shared" si="131"/>
        <v/>
      </c>
      <c r="QM36" s="249" t="str">
        <f>IF(OR($O$8="Lv2",$O$8="Lv3",$O$8="Lv4"),IF(OR($AS36="",COUNT($PL36:$QL36)=0),"",
GuardLimitLower(
  $AS36-SUM($PL36:$QL36),
  data_GuardLimitFlag,
  0)
),"")</f>
        <v/>
      </c>
      <c r="QN36" s="249" t="str">
        <f t="shared" si="132"/>
        <v/>
      </c>
      <c r="QO36" s="251" t="str">
        <f t="shared" si="133"/>
        <v/>
      </c>
      <c r="QP36" s="251" t="str">
        <f t="shared" si="134"/>
        <v/>
      </c>
      <c r="QQ36" s="251" t="str">
        <f t="shared" si="135"/>
        <v/>
      </c>
      <c r="QR36" s="251" t="str">
        <f t="shared" si="66"/>
        <v/>
      </c>
      <c r="QS36" s="234" t="str">
        <f t="shared" si="67"/>
        <v/>
      </c>
      <c r="QT36" s="234" t="str">
        <f t="shared" si="68"/>
        <v/>
      </c>
      <c r="QU36" s="234" t="str">
        <f t="shared" si="69"/>
        <v/>
      </c>
      <c r="QV36" s="233" t="str">
        <f t="shared" si="70"/>
        <v/>
      </c>
      <c r="QW36" s="233" t="str">
        <f t="shared" si="71"/>
        <v/>
      </c>
      <c r="QX36" s="233" t="str">
        <f t="shared" si="72"/>
        <v/>
      </c>
      <c r="QY36" s="233" t="str">
        <f t="shared" si="73"/>
        <v/>
      </c>
      <c r="QZ36" s="233" t="str">
        <f t="shared" si="74"/>
        <v/>
      </c>
      <c r="RA36" s="234" t="str">
        <f t="shared" si="136"/>
        <v/>
      </c>
      <c r="RB36" s="234" t="str">
        <f t="shared" si="75"/>
        <v/>
      </c>
      <c r="RC36" s="234" t="str">
        <f t="shared" si="76"/>
        <v/>
      </c>
      <c r="RD36" s="234" t="str">
        <f t="shared" si="77"/>
        <v/>
      </c>
      <c r="RE36" s="234" t="str">
        <f t="shared" si="78"/>
        <v/>
      </c>
      <c r="RF36" s="234" t="str">
        <f t="shared" si="79"/>
        <v/>
      </c>
      <c r="RG36" s="234" t="str">
        <f t="shared" si="80"/>
        <v/>
      </c>
      <c r="RH36" s="234" t="str">
        <f t="shared" si="81"/>
        <v/>
      </c>
      <c r="RI36" s="234" t="str">
        <f t="shared" si="82"/>
        <v/>
      </c>
      <c r="RJ36" s="150"/>
      <c r="RK36" s="150"/>
      <c r="RL36" s="150"/>
      <c r="RM36" s="150"/>
      <c r="RN36" s="150"/>
      <c r="RO36" s="150"/>
      <c r="RP36" s="150"/>
      <c r="RQ36" s="150"/>
      <c r="RR36" s="249" t="str">
        <f t="shared" si="83"/>
        <v/>
      </c>
      <c r="RS36" s="253"/>
      <c r="RT36" s="253"/>
      <c r="RU36" s="233" t="str">
        <f t="shared" si="137"/>
        <v/>
      </c>
      <c r="RV36" s="233" t="str">
        <f t="shared" si="138"/>
        <v/>
      </c>
      <c r="RW36" s="233" t="str">
        <f t="shared" si="139"/>
        <v/>
      </c>
      <c r="RX36" s="233" t="str">
        <f t="shared" si="140"/>
        <v/>
      </c>
      <c r="RY36" s="233" t="str">
        <f t="shared" si="141"/>
        <v/>
      </c>
      <c r="RZ36" s="233" t="str">
        <f t="shared" si="84"/>
        <v/>
      </c>
      <c r="SA36" s="233" t="str">
        <f t="shared" si="85"/>
        <v/>
      </c>
      <c r="SB36" s="233" t="str">
        <f t="shared" si="86"/>
        <v/>
      </c>
      <c r="SC36" s="233" t="str">
        <f t="shared" si="87"/>
        <v/>
      </c>
      <c r="SD36" s="233" t="str">
        <f t="shared" si="88"/>
        <v/>
      </c>
      <c r="SE36" s="233" t="str">
        <f t="shared" si="89"/>
        <v/>
      </c>
      <c r="SF36" s="233" t="str">
        <f t="shared" si="90"/>
        <v/>
      </c>
      <c r="SG36" s="233" t="str">
        <f t="shared" si="91"/>
        <v/>
      </c>
      <c r="SH36" s="233" t="str">
        <f t="shared" si="92"/>
        <v/>
      </c>
      <c r="SI36" s="233" t="str">
        <f t="shared" si="93"/>
        <v/>
      </c>
      <c r="SJ36" s="233" t="str">
        <f t="shared" si="94"/>
        <v/>
      </c>
      <c r="SK36" s="233" t="str">
        <f t="shared" si="95"/>
        <v/>
      </c>
      <c r="SL36" s="233" t="str">
        <f t="shared" si="96"/>
        <v/>
      </c>
      <c r="SM36" s="254" t="str">
        <f t="shared" si="142"/>
        <v/>
      </c>
      <c r="SN36" s="255" t="str">
        <f t="shared" si="97"/>
        <v/>
      </c>
      <c r="SO36" s="234" t="str">
        <f t="shared" si="143"/>
        <v/>
      </c>
      <c r="SP36" s="234" t="str">
        <f t="shared" si="144"/>
        <v/>
      </c>
      <c r="SQ36" s="249" t="str">
        <f t="shared" si="145"/>
        <v/>
      </c>
      <c r="SR36" s="249" t="str">
        <f t="shared" si="146"/>
        <v/>
      </c>
      <c r="SS36" s="249" t="str">
        <f t="shared" si="147"/>
        <v/>
      </c>
      <c r="ST36" s="249" t="str">
        <f t="shared" si="148"/>
        <v/>
      </c>
      <c r="SU36" s="249" t="str">
        <f t="shared" si="149"/>
        <v/>
      </c>
      <c r="SV36" s="249" t="str">
        <f t="shared" si="150"/>
        <v/>
      </c>
      <c r="SW36" s="249" t="str">
        <f t="shared" si="151"/>
        <v/>
      </c>
      <c r="SX36" s="249" t="str">
        <f t="shared" si="152"/>
        <v/>
      </c>
      <c r="SY36" s="249" t="str">
        <f t="shared" si="153"/>
        <v/>
      </c>
      <c r="SZ36" s="249" t="str">
        <f t="shared" si="154"/>
        <v/>
      </c>
      <c r="TA36" s="249" t="str">
        <f t="shared" si="155"/>
        <v/>
      </c>
      <c r="TB36" s="249" t="str">
        <f t="shared" si="156"/>
        <v/>
      </c>
      <c r="TC36" s="249" t="str">
        <f t="shared" si="98"/>
        <v/>
      </c>
      <c r="TD36" s="249" t="str">
        <f t="shared" si="157"/>
        <v/>
      </c>
      <c r="TE36" s="249" t="str">
        <f t="shared" si="158"/>
        <v/>
      </c>
      <c r="TF36" s="249" t="str">
        <f t="shared" si="159"/>
        <v/>
      </c>
      <c r="TG36" s="249" t="str">
        <f t="shared" si="160"/>
        <v/>
      </c>
      <c r="WC36" s="270"/>
      <c r="WD36" s="270"/>
      <c r="WE36" s="270"/>
      <c r="WF36" s="270"/>
      <c r="WG36" s="270"/>
      <c r="WH36" s="270"/>
      <c r="WI36" s="270"/>
      <c r="WJ36" s="270"/>
      <c r="WK36" s="270"/>
      <c r="WL36" s="270"/>
      <c r="WM36" s="270"/>
      <c r="WN36" s="270"/>
      <c r="WO36" s="270"/>
      <c r="WP36" s="270"/>
      <c r="WQ36" s="270"/>
      <c r="WR36" s="270"/>
      <c r="WS36" s="270"/>
    </row>
    <row r="37" spans="28:617" ht="16.5" customHeight="1" x14ac:dyDescent="0.25">
      <c r="AB37" s="287">
        <v>7</v>
      </c>
      <c r="AC37" s="637"/>
      <c r="AD37" s="637"/>
      <c r="AE37" s="637"/>
      <c r="AF37" s="637"/>
      <c r="AG37" s="637"/>
      <c r="AH37" s="637"/>
      <c r="AI37" s="637"/>
      <c r="AJ37" s="637"/>
      <c r="AK37" s="638"/>
      <c r="AL37" s="638"/>
      <c r="AM37" s="637"/>
      <c r="AN37" s="637"/>
      <c r="AO37" s="637"/>
      <c r="AP37" s="637"/>
      <c r="AQ37" s="639"/>
      <c r="AR37" s="639"/>
      <c r="AS37" s="638"/>
      <c r="AT37" s="638"/>
      <c r="AU37" s="637"/>
      <c r="AV37" s="637"/>
      <c r="AW37" s="637"/>
      <c r="AX37" s="637"/>
      <c r="AY37" s="637"/>
      <c r="AZ37" s="637"/>
      <c r="BA37" s="637"/>
      <c r="BB37" s="637"/>
      <c r="BC37" s="637"/>
      <c r="BD37" s="637"/>
      <c r="BE37" s="637"/>
      <c r="BF37" s="639"/>
      <c r="BG37" s="637"/>
      <c r="BH37" s="639"/>
      <c r="BI37" s="637"/>
      <c r="BJ37" s="637"/>
      <c r="BK37" s="637"/>
      <c r="BL37" s="637"/>
      <c r="BM37" s="637"/>
      <c r="BN37" s="637"/>
      <c r="BO37" s="637"/>
      <c r="BP37" s="637"/>
      <c r="BQ37" s="637"/>
      <c r="BR37" s="637"/>
      <c r="BS37" s="637"/>
      <c r="BT37" s="637"/>
      <c r="BU37" s="637"/>
      <c r="BV37" s="637"/>
      <c r="BW37" s="638"/>
      <c r="BX37" s="638"/>
      <c r="BY37" s="637"/>
      <c r="BZ37" s="637"/>
      <c r="CA37" s="637"/>
      <c r="CB37" s="637"/>
      <c r="CC37" s="637"/>
      <c r="CD37" s="637"/>
      <c r="CE37" s="637"/>
      <c r="CF37" s="637"/>
      <c r="CG37" s="637"/>
      <c r="CH37" s="637"/>
      <c r="CI37" s="637"/>
      <c r="CJ37" s="637"/>
      <c r="CK37" s="637"/>
      <c r="CL37" s="637"/>
      <c r="CM37" s="637"/>
      <c r="CN37" s="637"/>
      <c r="CO37" s="637"/>
      <c r="CP37" s="637"/>
      <c r="CQ37" s="637"/>
      <c r="CR37" s="637"/>
      <c r="CS37" s="637"/>
      <c r="CT37" s="637"/>
      <c r="CU37" s="637"/>
      <c r="CV37" s="637"/>
      <c r="CW37" s="637"/>
      <c r="CX37" s="637"/>
      <c r="CY37" s="637"/>
      <c r="CZ37" s="637"/>
      <c r="DA37" s="637"/>
      <c r="DB37" s="637"/>
      <c r="DC37" s="637"/>
      <c r="DD37" s="637"/>
      <c r="DE37" s="637"/>
      <c r="DF37" s="640"/>
      <c r="DG37" s="637"/>
      <c r="DH37" s="637"/>
      <c r="DI37" s="637"/>
      <c r="DJ37" s="637"/>
      <c r="DK37" s="637"/>
      <c r="DL37" s="637"/>
      <c r="DM37" s="637"/>
      <c r="DN37" s="637"/>
      <c r="DO37" s="639"/>
      <c r="DP37" s="639"/>
      <c r="DQ37" s="639"/>
      <c r="DR37" s="639"/>
      <c r="DS37" s="639"/>
      <c r="DT37" s="639"/>
      <c r="DU37" s="639"/>
      <c r="DV37" s="639"/>
      <c r="DW37" s="639"/>
      <c r="DX37" s="639"/>
      <c r="DY37" s="639"/>
      <c r="DZ37" s="639"/>
      <c r="EA37" s="639"/>
      <c r="EB37" s="637"/>
      <c r="EC37" s="639"/>
      <c r="ED37" s="639"/>
      <c r="EE37" s="639"/>
      <c r="EF37" s="639"/>
      <c r="EG37" s="639"/>
      <c r="EH37" s="639"/>
      <c r="EI37" s="639"/>
      <c r="EJ37" s="639"/>
      <c r="EK37" s="639"/>
      <c r="EL37" s="639"/>
      <c r="EM37" s="639"/>
      <c r="EN37" s="639"/>
      <c r="EO37" s="639"/>
      <c r="EP37" s="639"/>
      <c r="EQ37" s="639"/>
      <c r="ER37" s="639"/>
      <c r="ES37" s="637"/>
      <c r="ET37" s="639"/>
      <c r="EU37" s="639"/>
      <c r="EV37" s="639"/>
      <c r="EW37" s="639"/>
      <c r="EX37" s="639"/>
      <c r="EY37" s="639"/>
      <c r="EZ37" s="639"/>
      <c r="FA37" s="639"/>
      <c r="FB37" s="639"/>
      <c r="FC37" s="639"/>
      <c r="FD37" s="639"/>
      <c r="FE37" s="639"/>
      <c r="FF37" s="639"/>
      <c r="FG37" s="639"/>
      <c r="FH37" s="639"/>
      <c r="FI37" s="639"/>
      <c r="FJ37" s="639"/>
      <c r="FK37" s="639"/>
      <c r="FL37" s="639"/>
      <c r="FM37" s="639"/>
      <c r="FN37" s="639"/>
      <c r="FO37" s="637"/>
      <c r="FP37" s="637"/>
      <c r="FQ37" s="639"/>
      <c r="FR37" s="639"/>
      <c r="FS37" s="639"/>
      <c r="FT37" s="639"/>
      <c r="FU37" s="639"/>
      <c r="FV37" s="639"/>
      <c r="FW37" s="639"/>
      <c r="FX37" s="639"/>
      <c r="FY37" s="639"/>
      <c r="FZ37" s="639"/>
      <c r="GA37" s="639"/>
      <c r="GB37" s="639"/>
      <c r="GC37" s="639"/>
      <c r="GD37" s="639"/>
      <c r="GE37" s="639"/>
      <c r="GF37" s="639"/>
      <c r="GG37" s="639"/>
      <c r="GH37" s="639"/>
      <c r="GI37" s="639"/>
      <c r="GJ37" s="639"/>
      <c r="GK37" s="639"/>
      <c r="GL37" s="639"/>
      <c r="GM37" s="639"/>
      <c r="GN37" s="639"/>
      <c r="GO37" s="639"/>
      <c r="GP37" s="639"/>
      <c r="GQ37" s="639"/>
      <c r="GR37" s="639"/>
      <c r="GS37" s="639"/>
      <c r="GT37" s="639"/>
      <c r="GU37" s="639"/>
      <c r="GV37" s="639"/>
      <c r="GW37" s="639"/>
      <c r="GX37" s="639"/>
      <c r="GY37" s="639"/>
      <c r="GZ37" s="639"/>
      <c r="HA37" s="639"/>
      <c r="HB37" s="639"/>
      <c r="HC37" s="639"/>
      <c r="HD37" s="639"/>
      <c r="HE37" s="639"/>
      <c r="HF37" s="639"/>
      <c r="HG37" s="639"/>
      <c r="HH37" s="639"/>
      <c r="HI37" s="639"/>
      <c r="HJ37" s="639"/>
      <c r="HK37" s="639"/>
      <c r="HL37" s="639"/>
      <c r="HM37" s="639"/>
      <c r="HN37" s="639"/>
      <c r="HO37" s="639"/>
      <c r="HP37" s="639"/>
      <c r="HQ37" s="639"/>
      <c r="HR37" s="639"/>
      <c r="HS37" s="639"/>
      <c r="HT37" s="639"/>
      <c r="HU37" s="639"/>
      <c r="HV37" s="639"/>
      <c r="HW37" s="639"/>
      <c r="HX37" s="639"/>
      <c r="HY37" s="639"/>
      <c r="HZ37" s="639"/>
      <c r="IA37" s="639"/>
      <c r="IB37" s="639"/>
      <c r="IC37" s="639"/>
      <c r="ID37" s="639"/>
      <c r="IE37" s="639"/>
      <c r="IF37" s="639"/>
      <c r="IG37" s="639"/>
      <c r="IH37" s="639"/>
      <c r="II37" s="639"/>
      <c r="IJ37" s="639"/>
      <c r="IK37" s="639"/>
      <c r="IL37" s="639"/>
      <c r="IM37" s="639"/>
      <c r="IN37" s="639"/>
      <c r="IO37" s="639"/>
      <c r="IP37" s="639"/>
      <c r="IQ37" s="639"/>
      <c r="IR37" s="639"/>
      <c r="IS37" s="639"/>
      <c r="IT37" s="639"/>
      <c r="IU37" s="639"/>
      <c r="IV37" s="639"/>
      <c r="IW37" s="639"/>
      <c r="IX37" s="639"/>
      <c r="IY37" s="639"/>
      <c r="IZ37" s="639"/>
      <c r="JA37" s="639"/>
      <c r="JB37" s="639"/>
      <c r="JC37" s="639"/>
      <c r="JD37" s="639"/>
      <c r="JE37" s="639"/>
      <c r="JF37" s="639"/>
      <c r="JG37" s="639"/>
      <c r="JH37" s="639"/>
      <c r="JI37" s="639"/>
      <c r="JJ37" s="639"/>
      <c r="JK37" s="639"/>
      <c r="JL37" s="639"/>
      <c r="JM37" s="639"/>
      <c r="JN37" s="639"/>
      <c r="JO37" s="639"/>
      <c r="JP37" s="639"/>
      <c r="JQ37" s="639"/>
      <c r="JR37" s="639"/>
      <c r="JS37" s="639"/>
      <c r="JT37" s="639"/>
      <c r="JU37" s="639"/>
      <c r="JV37" s="639"/>
      <c r="JW37" s="639"/>
      <c r="JX37" s="639"/>
      <c r="JY37" s="639"/>
      <c r="JZ37" s="639"/>
      <c r="KA37" s="639"/>
      <c r="KB37" s="639"/>
      <c r="KC37" s="639"/>
      <c r="KD37" s="639"/>
      <c r="KE37" s="639"/>
      <c r="KF37" s="639"/>
      <c r="KG37" s="639"/>
      <c r="KH37" s="639"/>
      <c r="KI37" s="639"/>
      <c r="KJ37" s="639"/>
      <c r="KK37" s="639"/>
      <c r="KL37" s="639"/>
      <c r="KM37" s="639"/>
      <c r="KN37" s="639"/>
      <c r="KO37" s="639"/>
      <c r="KP37" s="639"/>
      <c r="KQ37" s="639"/>
      <c r="KR37" s="639"/>
      <c r="KS37" s="639"/>
      <c r="KT37" s="639"/>
      <c r="KU37" s="639"/>
      <c r="KV37" s="639"/>
      <c r="KW37" s="639"/>
      <c r="KX37" s="639"/>
      <c r="KY37" s="639"/>
      <c r="KZ37" s="639"/>
      <c r="LA37" s="639"/>
      <c r="LB37" s="639"/>
      <c r="LC37" s="639"/>
      <c r="LD37" s="639"/>
      <c r="LE37" s="639"/>
      <c r="LF37" s="639"/>
      <c r="LG37" s="639"/>
      <c r="LH37" s="639"/>
      <c r="LI37" s="639"/>
      <c r="LJ37" s="639"/>
      <c r="LK37" s="639"/>
      <c r="LL37" s="639"/>
      <c r="LM37" s="639"/>
      <c r="LN37" s="639"/>
      <c r="LO37" s="639"/>
      <c r="LP37" s="639"/>
      <c r="LQ37" s="639"/>
      <c r="LR37" s="639"/>
      <c r="LS37" s="639"/>
      <c r="LT37" s="639"/>
      <c r="LU37" s="639"/>
      <c r="LV37" s="639"/>
      <c r="MC37" s="299" t="s">
        <v>518</v>
      </c>
      <c r="MD37" s="417"/>
      <c r="ME37" s="418"/>
      <c r="MF37" s="418"/>
      <c r="MG37" s="418"/>
      <c r="MH37" s="418"/>
      <c r="MI37" s="418"/>
      <c r="MJ37" s="418"/>
      <c r="MK37" s="418"/>
      <c r="ML37" s="418"/>
      <c r="MM37" s="418"/>
      <c r="MN37" s="418"/>
      <c r="MO37" s="418"/>
      <c r="MP37" s="418"/>
      <c r="MQ37" s="418"/>
      <c r="MR37" s="418"/>
      <c r="MS37" s="418"/>
      <c r="MT37" s="419"/>
      <c r="NA37" s="470" t="str">
        <f t="shared" si="99"/>
        <v/>
      </c>
      <c r="NB37" s="470" t="str">
        <f t="shared" si="100"/>
        <v/>
      </c>
      <c r="NC37" s="232" t="str">
        <f t="shared" si="101"/>
        <v/>
      </c>
      <c r="ND37" s="233" t="str">
        <f t="shared" si="102"/>
        <v/>
      </c>
      <c r="NE37" s="234" t="str">
        <f t="shared" si="14"/>
        <v/>
      </c>
      <c r="NF37" s="233" t="str">
        <f t="shared" si="15"/>
        <v/>
      </c>
      <c r="NG37" s="235"/>
      <c r="NH37" s="236" t="str">
        <f t="shared" si="103"/>
        <v/>
      </c>
      <c r="NI37" s="233" t="str">
        <f t="shared" si="16"/>
        <v/>
      </c>
      <c r="NJ37" s="237" t="str">
        <f t="shared" si="104"/>
        <v/>
      </c>
      <c r="NK37" s="238" t="str">
        <f t="shared" si="105"/>
        <v/>
      </c>
      <c r="NL37" s="239" t="str">
        <f t="shared" si="17"/>
        <v/>
      </c>
      <c r="NM37" s="240" t="str">
        <f t="shared" si="106"/>
        <v/>
      </c>
      <c r="NN37" s="240" t="str">
        <f t="shared" si="18"/>
        <v/>
      </c>
      <c r="NO37" s="241" t="str">
        <f t="shared" si="19"/>
        <v/>
      </c>
      <c r="NP37" s="242" t="str">
        <f t="shared" si="107"/>
        <v/>
      </c>
      <c r="NQ37" s="241" t="str">
        <f t="shared" si="108"/>
        <v/>
      </c>
      <c r="NR37" s="241" t="str">
        <f t="shared" si="109"/>
        <v/>
      </c>
      <c r="NS37" s="241" t="str">
        <f t="shared" si="20"/>
        <v/>
      </c>
      <c r="NT37" s="241" t="str">
        <f t="shared" si="21"/>
        <v/>
      </c>
      <c r="NU37" s="241" t="str">
        <f t="shared" si="22"/>
        <v/>
      </c>
      <c r="NV37" s="241" t="str">
        <f t="shared" si="110"/>
        <v/>
      </c>
      <c r="NW37" s="241" t="str">
        <f t="shared" si="23"/>
        <v/>
      </c>
      <c r="NX37" s="241" t="str">
        <f t="shared" si="24"/>
        <v/>
      </c>
      <c r="NY37" s="241" t="str">
        <f t="shared" si="25"/>
        <v/>
      </c>
      <c r="NZ37" s="241" t="str">
        <f t="shared" si="26"/>
        <v/>
      </c>
      <c r="OA37" s="241" t="str">
        <f t="shared" si="27"/>
        <v/>
      </c>
      <c r="OB37" s="241" t="str">
        <f t="shared" si="28"/>
        <v/>
      </c>
      <c r="OC37" s="241" t="str">
        <f t="shared" si="29"/>
        <v/>
      </c>
      <c r="OD37" s="241" t="str">
        <f t="shared" si="30"/>
        <v/>
      </c>
      <c r="OE37" s="241" t="str">
        <f t="shared" si="31"/>
        <v/>
      </c>
      <c r="OF37" s="241" t="str">
        <f t="shared" si="32"/>
        <v/>
      </c>
      <c r="OG37" s="241" t="str">
        <f t="shared" si="33"/>
        <v/>
      </c>
      <c r="OH37" s="241" t="str">
        <f t="shared" si="34"/>
        <v/>
      </c>
      <c r="OI37" s="241" t="str">
        <f t="shared" si="111"/>
        <v/>
      </c>
      <c r="OJ37" s="244" t="str">
        <f t="shared" si="112"/>
        <v/>
      </c>
      <c r="OK37" s="244" t="str">
        <f t="shared" si="113"/>
        <v/>
      </c>
      <c r="OL37" s="244" t="str">
        <f t="shared" si="114"/>
        <v/>
      </c>
      <c r="OM37" s="244" t="str">
        <f t="shared" si="115"/>
        <v/>
      </c>
      <c r="ON37" s="243" t="str">
        <f t="shared" si="35"/>
        <v/>
      </c>
      <c r="OO37" s="235"/>
      <c r="OP37" s="235"/>
      <c r="OQ37" s="244" t="str">
        <f t="shared" si="116"/>
        <v/>
      </c>
      <c r="OR37" s="244" t="str">
        <f t="shared" si="117"/>
        <v/>
      </c>
      <c r="OS37" s="250" t="str">
        <f t="shared" si="36"/>
        <v/>
      </c>
      <c r="OT37" s="250" t="str">
        <f t="shared" si="37"/>
        <v/>
      </c>
      <c r="OU37" s="245" t="str">
        <f t="shared" si="38"/>
        <v/>
      </c>
      <c r="OV37" s="245" t="str">
        <f t="shared" si="39"/>
        <v/>
      </c>
      <c r="OW37" s="234" t="str">
        <f t="shared" si="118"/>
        <v/>
      </c>
      <c r="OX37" s="246" t="str">
        <f t="shared" si="40"/>
        <v/>
      </c>
      <c r="OY37" s="233" t="str">
        <f t="shared" si="119"/>
        <v/>
      </c>
      <c r="OZ37" s="233" t="str">
        <f t="shared" si="41"/>
        <v/>
      </c>
      <c r="PA37" s="234" t="str">
        <f t="shared" si="120"/>
        <v/>
      </c>
      <c r="PB37" s="234" t="str">
        <f>IF(OR($CQ37="",$OZ37=""),"",IF($OZ37=0,0,
GuardLimitUpper(
  ($OZ37-$CQ37)/$OZ37,
  data_GuardLimitFlag,
  1)
))</f>
        <v/>
      </c>
      <c r="PC37" s="234" t="str">
        <f t="shared" si="42"/>
        <v/>
      </c>
      <c r="PD37" s="234" t="str">
        <f t="shared" si="43"/>
        <v/>
      </c>
      <c r="PE37" s="233" t="str">
        <f t="shared" si="121"/>
        <v/>
      </c>
      <c r="PF37" s="234" t="str">
        <f t="shared" si="122"/>
        <v/>
      </c>
      <c r="PG37" s="234" t="str">
        <f t="shared" si="44"/>
        <v/>
      </c>
      <c r="PH37" s="234" t="str">
        <f t="shared" si="45"/>
        <v/>
      </c>
      <c r="PI37" s="234" t="str">
        <f t="shared" si="46"/>
        <v/>
      </c>
      <c r="PJ37" s="247" t="str">
        <f t="shared" si="47"/>
        <v/>
      </c>
      <c r="PK37" s="247" t="str">
        <f t="shared" si="48"/>
        <v/>
      </c>
      <c r="PL37" s="248" t="str">
        <f t="shared" si="123"/>
        <v/>
      </c>
      <c r="PM37" s="248" t="str">
        <f t="shared" si="49"/>
        <v/>
      </c>
      <c r="PN37" s="248" t="str">
        <f t="shared" si="124"/>
        <v/>
      </c>
      <c r="PO37" s="248" t="str">
        <f t="shared" si="50"/>
        <v/>
      </c>
      <c r="PP37" s="566" t="str">
        <f t="shared" si="51"/>
        <v/>
      </c>
      <c r="PQ37" s="581" t="str">
        <f t="shared" si="125"/>
        <v/>
      </c>
      <c r="PR37" s="566" t="str">
        <f t="shared" si="52"/>
        <v/>
      </c>
      <c r="PS37" s="248" t="str">
        <f t="shared" si="53"/>
        <v/>
      </c>
      <c r="PT37" s="248" t="str">
        <f t="shared" si="126"/>
        <v/>
      </c>
      <c r="PU37" s="248" t="str">
        <f t="shared" si="54"/>
        <v/>
      </c>
      <c r="PV37" s="248" t="str">
        <f t="shared" si="127"/>
        <v/>
      </c>
      <c r="PW37" s="566" t="str">
        <f t="shared" si="55"/>
        <v/>
      </c>
      <c r="PX37" s="566" t="str">
        <f t="shared" si="161"/>
        <v/>
      </c>
      <c r="PY37" s="566" t="str">
        <f t="shared" si="56"/>
        <v/>
      </c>
      <c r="PZ37" s="248" t="str">
        <f t="shared" si="57"/>
        <v/>
      </c>
      <c r="QA37" s="248" t="str">
        <f t="shared" si="58"/>
        <v/>
      </c>
      <c r="QB37" s="248" t="str">
        <f t="shared" si="59"/>
        <v/>
      </c>
      <c r="QC37" s="248" t="str">
        <f t="shared" si="60"/>
        <v/>
      </c>
      <c r="QD37" s="248" t="str">
        <f t="shared" si="128"/>
        <v/>
      </c>
      <c r="QE37" s="248" t="str">
        <f t="shared" si="129"/>
        <v/>
      </c>
      <c r="QF37" s="248" t="str">
        <f t="shared" si="130"/>
        <v/>
      </c>
      <c r="QG37" s="249" t="str">
        <f t="shared" si="61"/>
        <v/>
      </c>
      <c r="QH37" s="249" t="str">
        <f t="shared" si="62"/>
        <v/>
      </c>
      <c r="QI37" s="249" t="str">
        <f t="shared" si="63"/>
        <v/>
      </c>
      <c r="QJ37" s="249" t="str">
        <f t="shared" si="64"/>
        <v/>
      </c>
      <c r="QK37" s="249" t="str">
        <f t="shared" si="65"/>
        <v/>
      </c>
      <c r="QL37" s="249" t="str">
        <f t="shared" si="131"/>
        <v/>
      </c>
      <c r="QM37" s="249" t="str">
        <f>IF(OR($O$8="Lv2",$O$8="Lv3",$O$8="Lv4"),IF(OR($AS37="",COUNT($PL37:$QL37)=0),"",
GuardLimitLower(
  $AS37-SUM($PL37:$QL37),
  data_GuardLimitFlag,
  0)
),"")</f>
        <v/>
      </c>
      <c r="QN37" s="249" t="str">
        <f t="shared" si="132"/>
        <v/>
      </c>
      <c r="QO37" s="251" t="str">
        <f t="shared" si="133"/>
        <v/>
      </c>
      <c r="QP37" s="251" t="str">
        <f t="shared" si="134"/>
        <v/>
      </c>
      <c r="QQ37" s="251" t="str">
        <f t="shared" si="135"/>
        <v/>
      </c>
      <c r="QR37" s="251" t="str">
        <f t="shared" si="66"/>
        <v/>
      </c>
      <c r="QS37" s="234" t="str">
        <f t="shared" si="67"/>
        <v/>
      </c>
      <c r="QT37" s="234" t="str">
        <f t="shared" si="68"/>
        <v/>
      </c>
      <c r="QU37" s="234" t="str">
        <f t="shared" si="69"/>
        <v/>
      </c>
      <c r="QV37" s="233" t="str">
        <f t="shared" si="70"/>
        <v/>
      </c>
      <c r="QW37" s="233" t="str">
        <f t="shared" si="71"/>
        <v/>
      </c>
      <c r="QX37" s="233" t="str">
        <f t="shared" si="72"/>
        <v/>
      </c>
      <c r="QY37" s="233" t="str">
        <f t="shared" si="73"/>
        <v/>
      </c>
      <c r="QZ37" s="233" t="str">
        <f t="shared" si="74"/>
        <v/>
      </c>
      <c r="RA37" s="234" t="str">
        <f t="shared" si="136"/>
        <v/>
      </c>
      <c r="RB37" s="234" t="str">
        <f t="shared" si="75"/>
        <v/>
      </c>
      <c r="RC37" s="234" t="str">
        <f t="shared" si="76"/>
        <v/>
      </c>
      <c r="RD37" s="234" t="str">
        <f t="shared" si="77"/>
        <v/>
      </c>
      <c r="RE37" s="234" t="str">
        <f t="shared" si="78"/>
        <v/>
      </c>
      <c r="RF37" s="234" t="str">
        <f t="shared" si="79"/>
        <v/>
      </c>
      <c r="RG37" s="234" t="str">
        <f t="shared" si="80"/>
        <v/>
      </c>
      <c r="RH37" s="234" t="str">
        <f t="shared" si="81"/>
        <v/>
      </c>
      <c r="RI37" s="234" t="str">
        <f t="shared" si="82"/>
        <v/>
      </c>
      <c r="RJ37" s="150"/>
      <c r="RK37" s="150"/>
      <c r="RL37" s="150"/>
      <c r="RM37" s="150"/>
      <c r="RN37" s="150"/>
      <c r="RO37" s="150"/>
      <c r="RP37" s="150"/>
      <c r="RQ37" s="150"/>
      <c r="RR37" s="249" t="str">
        <f t="shared" si="83"/>
        <v/>
      </c>
      <c r="RS37" s="253"/>
      <c r="RT37" s="253"/>
      <c r="RU37" s="233" t="str">
        <f t="shared" si="137"/>
        <v/>
      </c>
      <c r="RV37" s="233" t="str">
        <f t="shared" si="138"/>
        <v/>
      </c>
      <c r="RW37" s="233" t="str">
        <f t="shared" si="139"/>
        <v/>
      </c>
      <c r="RX37" s="233" t="str">
        <f t="shared" si="140"/>
        <v/>
      </c>
      <c r="RY37" s="233" t="str">
        <f t="shared" si="141"/>
        <v/>
      </c>
      <c r="RZ37" s="233" t="str">
        <f t="shared" si="84"/>
        <v/>
      </c>
      <c r="SA37" s="233" t="str">
        <f t="shared" si="85"/>
        <v/>
      </c>
      <c r="SB37" s="233" t="str">
        <f t="shared" si="86"/>
        <v/>
      </c>
      <c r="SC37" s="233" t="str">
        <f t="shared" si="87"/>
        <v/>
      </c>
      <c r="SD37" s="233" t="str">
        <f t="shared" si="88"/>
        <v/>
      </c>
      <c r="SE37" s="233" t="str">
        <f t="shared" si="89"/>
        <v/>
      </c>
      <c r="SF37" s="233" t="str">
        <f t="shared" si="90"/>
        <v/>
      </c>
      <c r="SG37" s="233" t="str">
        <f t="shared" si="91"/>
        <v/>
      </c>
      <c r="SH37" s="233" t="str">
        <f t="shared" si="92"/>
        <v/>
      </c>
      <c r="SI37" s="233" t="str">
        <f t="shared" si="93"/>
        <v/>
      </c>
      <c r="SJ37" s="233" t="str">
        <f t="shared" si="94"/>
        <v/>
      </c>
      <c r="SK37" s="233" t="str">
        <f t="shared" si="95"/>
        <v/>
      </c>
      <c r="SL37" s="233" t="str">
        <f t="shared" si="96"/>
        <v/>
      </c>
      <c r="SM37" s="254" t="str">
        <f t="shared" si="142"/>
        <v/>
      </c>
      <c r="SN37" s="255" t="str">
        <f t="shared" si="97"/>
        <v/>
      </c>
      <c r="SO37" s="234" t="str">
        <f t="shared" si="143"/>
        <v/>
      </c>
      <c r="SP37" s="234" t="str">
        <f t="shared" si="144"/>
        <v/>
      </c>
      <c r="SQ37" s="249" t="str">
        <f t="shared" si="145"/>
        <v/>
      </c>
      <c r="SR37" s="249" t="str">
        <f t="shared" si="146"/>
        <v/>
      </c>
      <c r="SS37" s="249" t="str">
        <f t="shared" si="147"/>
        <v/>
      </c>
      <c r="ST37" s="249" t="str">
        <f t="shared" si="148"/>
        <v/>
      </c>
      <c r="SU37" s="249" t="str">
        <f t="shared" si="149"/>
        <v/>
      </c>
      <c r="SV37" s="249" t="str">
        <f t="shared" si="150"/>
        <v/>
      </c>
      <c r="SW37" s="249" t="str">
        <f t="shared" si="151"/>
        <v/>
      </c>
      <c r="SX37" s="249" t="str">
        <f t="shared" si="152"/>
        <v/>
      </c>
      <c r="SY37" s="249" t="str">
        <f t="shared" si="153"/>
        <v/>
      </c>
      <c r="SZ37" s="249" t="str">
        <f t="shared" si="154"/>
        <v/>
      </c>
      <c r="TA37" s="249" t="str">
        <f t="shared" si="155"/>
        <v/>
      </c>
      <c r="TB37" s="249" t="str">
        <f t="shared" si="156"/>
        <v/>
      </c>
      <c r="TC37" s="249" t="str">
        <f t="shared" si="98"/>
        <v/>
      </c>
      <c r="TD37" s="249" t="str">
        <f t="shared" si="157"/>
        <v/>
      </c>
      <c r="TE37" s="249" t="str">
        <f t="shared" si="158"/>
        <v/>
      </c>
      <c r="TF37" s="249" t="str">
        <f t="shared" si="159"/>
        <v/>
      </c>
      <c r="TG37" s="249" t="str">
        <f t="shared" si="160"/>
        <v/>
      </c>
      <c r="TQ37" s="284" t="s">
        <v>1767</v>
      </c>
      <c r="UC37" s="284" t="s">
        <v>1767</v>
      </c>
      <c r="WC37" s="270"/>
      <c r="WD37" s="270"/>
      <c r="WE37" s="270"/>
      <c r="WF37" s="270"/>
      <c r="WG37" s="270"/>
      <c r="WH37" s="270"/>
      <c r="WI37" s="270"/>
      <c r="WJ37" s="270"/>
      <c r="WK37" s="270"/>
      <c r="WL37" s="270"/>
      <c r="WM37" s="270"/>
      <c r="WN37" s="270"/>
      <c r="WO37" s="270"/>
      <c r="WP37" s="270"/>
      <c r="WQ37" s="270"/>
      <c r="WR37" s="270"/>
      <c r="WS37" s="270"/>
    </row>
    <row r="38" spans="28:617" ht="15.75" customHeight="1" x14ac:dyDescent="0.25">
      <c r="AB38" s="287">
        <v>8</v>
      </c>
      <c r="AC38" s="637"/>
      <c r="AD38" s="637"/>
      <c r="AE38" s="637"/>
      <c r="AF38" s="637"/>
      <c r="AG38" s="637"/>
      <c r="AH38" s="637"/>
      <c r="AI38" s="637"/>
      <c r="AJ38" s="637"/>
      <c r="AK38" s="638"/>
      <c r="AL38" s="638"/>
      <c r="AM38" s="637"/>
      <c r="AN38" s="637"/>
      <c r="AO38" s="637"/>
      <c r="AP38" s="637"/>
      <c r="AQ38" s="639"/>
      <c r="AR38" s="639"/>
      <c r="AS38" s="638"/>
      <c r="AT38" s="638"/>
      <c r="AU38" s="637"/>
      <c r="AV38" s="637"/>
      <c r="AW38" s="637"/>
      <c r="AX38" s="637"/>
      <c r="AY38" s="637"/>
      <c r="AZ38" s="637"/>
      <c r="BA38" s="637"/>
      <c r="BB38" s="637"/>
      <c r="BC38" s="637"/>
      <c r="BD38" s="637"/>
      <c r="BE38" s="637"/>
      <c r="BF38" s="639"/>
      <c r="BG38" s="637"/>
      <c r="BH38" s="639"/>
      <c r="BI38" s="637"/>
      <c r="BJ38" s="637"/>
      <c r="BK38" s="637"/>
      <c r="BL38" s="637"/>
      <c r="BM38" s="637"/>
      <c r="BN38" s="637"/>
      <c r="BO38" s="637"/>
      <c r="BP38" s="637"/>
      <c r="BQ38" s="637"/>
      <c r="BR38" s="637"/>
      <c r="BS38" s="637"/>
      <c r="BT38" s="637"/>
      <c r="BU38" s="637"/>
      <c r="BV38" s="637"/>
      <c r="BW38" s="638"/>
      <c r="BX38" s="638"/>
      <c r="BY38" s="637"/>
      <c r="BZ38" s="637"/>
      <c r="CA38" s="637"/>
      <c r="CB38" s="637"/>
      <c r="CC38" s="637"/>
      <c r="CD38" s="637"/>
      <c r="CE38" s="637"/>
      <c r="CF38" s="637"/>
      <c r="CG38" s="637"/>
      <c r="CH38" s="637"/>
      <c r="CI38" s="637"/>
      <c r="CJ38" s="637"/>
      <c r="CK38" s="637"/>
      <c r="CL38" s="637"/>
      <c r="CM38" s="637"/>
      <c r="CN38" s="637"/>
      <c r="CO38" s="637"/>
      <c r="CP38" s="637"/>
      <c r="CQ38" s="637"/>
      <c r="CR38" s="637"/>
      <c r="CS38" s="637"/>
      <c r="CT38" s="637"/>
      <c r="CU38" s="637"/>
      <c r="CV38" s="637"/>
      <c r="CW38" s="637"/>
      <c r="CX38" s="637"/>
      <c r="CY38" s="637"/>
      <c r="CZ38" s="637"/>
      <c r="DA38" s="637"/>
      <c r="DB38" s="637"/>
      <c r="DC38" s="637"/>
      <c r="DD38" s="637"/>
      <c r="DE38" s="637"/>
      <c r="DF38" s="640"/>
      <c r="DG38" s="637"/>
      <c r="DH38" s="637"/>
      <c r="DI38" s="637"/>
      <c r="DJ38" s="637"/>
      <c r="DK38" s="637"/>
      <c r="DL38" s="637"/>
      <c r="DM38" s="637"/>
      <c r="DN38" s="637"/>
      <c r="DO38" s="639"/>
      <c r="DP38" s="639"/>
      <c r="DQ38" s="639"/>
      <c r="DR38" s="639"/>
      <c r="DS38" s="639"/>
      <c r="DT38" s="639"/>
      <c r="DU38" s="639"/>
      <c r="DV38" s="639"/>
      <c r="DW38" s="639"/>
      <c r="DX38" s="639"/>
      <c r="DY38" s="639"/>
      <c r="DZ38" s="639"/>
      <c r="EA38" s="639"/>
      <c r="EB38" s="637"/>
      <c r="EC38" s="639"/>
      <c r="ED38" s="639"/>
      <c r="EE38" s="639"/>
      <c r="EF38" s="639"/>
      <c r="EG38" s="639"/>
      <c r="EH38" s="639"/>
      <c r="EI38" s="639"/>
      <c r="EJ38" s="639"/>
      <c r="EK38" s="639"/>
      <c r="EL38" s="639"/>
      <c r="EM38" s="639"/>
      <c r="EN38" s="639"/>
      <c r="EO38" s="639"/>
      <c r="EP38" s="639"/>
      <c r="EQ38" s="639"/>
      <c r="ER38" s="639"/>
      <c r="ES38" s="637"/>
      <c r="ET38" s="639"/>
      <c r="EU38" s="639"/>
      <c r="EV38" s="639"/>
      <c r="EW38" s="639"/>
      <c r="EX38" s="639"/>
      <c r="EY38" s="639"/>
      <c r="EZ38" s="639"/>
      <c r="FA38" s="639"/>
      <c r="FB38" s="639"/>
      <c r="FC38" s="639"/>
      <c r="FD38" s="639"/>
      <c r="FE38" s="639"/>
      <c r="FF38" s="639"/>
      <c r="FG38" s="639"/>
      <c r="FH38" s="639"/>
      <c r="FI38" s="639"/>
      <c r="FJ38" s="639"/>
      <c r="FK38" s="639"/>
      <c r="FL38" s="639"/>
      <c r="FM38" s="639"/>
      <c r="FN38" s="639"/>
      <c r="FO38" s="637"/>
      <c r="FP38" s="637"/>
      <c r="FQ38" s="639"/>
      <c r="FR38" s="639"/>
      <c r="FS38" s="639"/>
      <c r="FT38" s="639"/>
      <c r="FU38" s="639"/>
      <c r="FV38" s="639"/>
      <c r="FW38" s="639"/>
      <c r="FX38" s="639"/>
      <c r="FY38" s="639"/>
      <c r="FZ38" s="639"/>
      <c r="GA38" s="639"/>
      <c r="GB38" s="639"/>
      <c r="GC38" s="639"/>
      <c r="GD38" s="639"/>
      <c r="GE38" s="639"/>
      <c r="GF38" s="639"/>
      <c r="GG38" s="639"/>
      <c r="GH38" s="639"/>
      <c r="GI38" s="639"/>
      <c r="GJ38" s="639"/>
      <c r="GK38" s="639"/>
      <c r="GL38" s="639"/>
      <c r="GM38" s="639"/>
      <c r="GN38" s="639"/>
      <c r="GO38" s="639"/>
      <c r="GP38" s="639"/>
      <c r="GQ38" s="639"/>
      <c r="GR38" s="639"/>
      <c r="GS38" s="639"/>
      <c r="GT38" s="639"/>
      <c r="GU38" s="639"/>
      <c r="GV38" s="639"/>
      <c r="GW38" s="639"/>
      <c r="GX38" s="639"/>
      <c r="GY38" s="639"/>
      <c r="GZ38" s="639"/>
      <c r="HA38" s="639"/>
      <c r="HB38" s="639"/>
      <c r="HC38" s="639"/>
      <c r="HD38" s="639"/>
      <c r="HE38" s="639"/>
      <c r="HF38" s="639"/>
      <c r="HG38" s="639"/>
      <c r="HH38" s="639"/>
      <c r="HI38" s="639"/>
      <c r="HJ38" s="639"/>
      <c r="HK38" s="639"/>
      <c r="HL38" s="639"/>
      <c r="HM38" s="639"/>
      <c r="HN38" s="639"/>
      <c r="HO38" s="639"/>
      <c r="HP38" s="639"/>
      <c r="HQ38" s="639"/>
      <c r="HR38" s="639"/>
      <c r="HS38" s="639"/>
      <c r="HT38" s="639"/>
      <c r="HU38" s="639"/>
      <c r="HV38" s="639"/>
      <c r="HW38" s="639"/>
      <c r="HX38" s="639"/>
      <c r="HY38" s="639"/>
      <c r="HZ38" s="639"/>
      <c r="IA38" s="639"/>
      <c r="IB38" s="639"/>
      <c r="IC38" s="639"/>
      <c r="ID38" s="639"/>
      <c r="IE38" s="639"/>
      <c r="IF38" s="639"/>
      <c r="IG38" s="639"/>
      <c r="IH38" s="639"/>
      <c r="II38" s="639"/>
      <c r="IJ38" s="639"/>
      <c r="IK38" s="639"/>
      <c r="IL38" s="639"/>
      <c r="IM38" s="639"/>
      <c r="IN38" s="639"/>
      <c r="IO38" s="639"/>
      <c r="IP38" s="639"/>
      <c r="IQ38" s="639"/>
      <c r="IR38" s="639"/>
      <c r="IS38" s="639"/>
      <c r="IT38" s="639"/>
      <c r="IU38" s="639"/>
      <c r="IV38" s="639"/>
      <c r="IW38" s="639"/>
      <c r="IX38" s="639"/>
      <c r="IY38" s="639"/>
      <c r="IZ38" s="639"/>
      <c r="JA38" s="639"/>
      <c r="JB38" s="639"/>
      <c r="JC38" s="639"/>
      <c r="JD38" s="639"/>
      <c r="JE38" s="639"/>
      <c r="JF38" s="639"/>
      <c r="JG38" s="639"/>
      <c r="JH38" s="639"/>
      <c r="JI38" s="639"/>
      <c r="JJ38" s="639"/>
      <c r="JK38" s="639"/>
      <c r="JL38" s="639"/>
      <c r="JM38" s="639"/>
      <c r="JN38" s="639"/>
      <c r="JO38" s="639"/>
      <c r="JP38" s="639"/>
      <c r="JQ38" s="639"/>
      <c r="JR38" s="639"/>
      <c r="JS38" s="639"/>
      <c r="JT38" s="639"/>
      <c r="JU38" s="639"/>
      <c r="JV38" s="639"/>
      <c r="JW38" s="639"/>
      <c r="JX38" s="639"/>
      <c r="JY38" s="639"/>
      <c r="JZ38" s="639"/>
      <c r="KA38" s="639"/>
      <c r="KB38" s="639"/>
      <c r="KC38" s="639"/>
      <c r="KD38" s="639"/>
      <c r="KE38" s="639"/>
      <c r="KF38" s="639"/>
      <c r="KG38" s="639"/>
      <c r="KH38" s="639"/>
      <c r="KI38" s="639"/>
      <c r="KJ38" s="639"/>
      <c r="KK38" s="639"/>
      <c r="KL38" s="639"/>
      <c r="KM38" s="639"/>
      <c r="KN38" s="639"/>
      <c r="KO38" s="639"/>
      <c r="KP38" s="639"/>
      <c r="KQ38" s="639"/>
      <c r="KR38" s="639"/>
      <c r="KS38" s="639"/>
      <c r="KT38" s="639"/>
      <c r="KU38" s="639"/>
      <c r="KV38" s="639"/>
      <c r="KW38" s="639"/>
      <c r="KX38" s="639"/>
      <c r="KY38" s="639"/>
      <c r="KZ38" s="639"/>
      <c r="LA38" s="639"/>
      <c r="LB38" s="639"/>
      <c r="LC38" s="639"/>
      <c r="LD38" s="639"/>
      <c r="LE38" s="639"/>
      <c r="LF38" s="639"/>
      <c r="LG38" s="639"/>
      <c r="LH38" s="639"/>
      <c r="LI38" s="639"/>
      <c r="LJ38" s="639"/>
      <c r="LK38" s="639"/>
      <c r="LL38" s="639"/>
      <c r="LM38" s="639"/>
      <c r="LN38" s="639"/>
      <c r="LO38" s="639"/>
      <c r="LP38" s="639"/>
      <c r="LQ38" s="639"/>
      <c r="LR38" s="639"/>
      <c r="LS38" s="639"/>
      <c r="LT38" s="639"/>
      <c r="LU38" s="639"/>
      <c r="LV38" s="639"/>
      <c r="MC38" s="284" t="s">
        <v>1191</v>
      </c>
      <c r="MD38" s="417"/>
      <c r="ME38" s="418"/>
      <c r="MF38" s="418"/>
      <c r="MG38" s="418"/>
      <c r="MH38" s="418"/>
      <c r="MI38" s="418"/>
      <c r="MJ38" s="418"/>
      <c r="MK38" s="418"/>
      <c r="ML38" s="418"/>
      <c r="MM38" s="418"/>
      <c r="MN38" s="418"/>
      <c r="MO38" s="418"/>
      <c r="MP38" s="418"/>
      <c r="MQ38" s="418"/>
      <c r="MR38" s="418"/>
      <c r="MS38" s="418"/>
      <c r="MT38" s="419"/>
      <c r="NA38" s="470" t="str">
        <f t="shared" si="99"/>
        <v/>
      </c>
      <c r="NB38" s="470" t="str">
        <f t="shared" si="100"/>
        <v/>
      </c>
      <c r="NC38" s="232" t="str">
        <f t="shared" si="101"/>
        <v/>
      </c>
      <c r="ND38" s="233" t="str">
        <f t="shared" si="102"/>
        <v/>
      </c>
      <c r="NE38" s="234" t="str">
        <f t="shared" si="14"/>
        <v/>
      </c>
      <c r="NF38" s="233" t="str">
        <f t="shared" si="15"/>
        <v/>
      </c>
      <c r="NG38" s="235"/>
      <c r="NH38" s="236" t="str">
        <f t="shared" si="103"/>
        <v/>
      </c>
      <c r="NI38" s="233" t="str">
        <f t="shared" si="16"/>
        <v/>
      </c>
      <c r="NJ38" s="237" t="str">
        <f t="shared" si="104"/>
        <v/>
      </c>
      <c r="NK38" s="238" t="str">
        <f t="shared" si="105"/>
        <v/>
      </c>
      <c r="NL38" s="239" t="str">
        <f t="shared" si="17"/>
        <v/>
      </c>
      <c r="NM38" s="240" t="str">
        <f t="shared" si="106"/>
        <v/>
      </c>
      <c r="NN38" s="240" t="str">
        <f t="shared" si="18"/>
        <v/>
      </c>
      <c r="NO38" s="241" t="str">
        <f t="shared" si="19"/>
        <v/>
      </c>
      <c r="NP38" s="242" t="str">
        <f t="shared" si="107"/>
        <v/>
      </c>
      <c r="NQ38" s="241" t="str">
        <f t="shared" si="108"/>
        <v/>
      </c>
      <c r="NR38" s="241" t="str">
        <f t="shared" si="109"/>
        <v/>
      </c>
      <c r="NS38" s="241" t="str">
        <f t="shared" si="20"/>
        <v/>
      </c>
      <c r="NT38" s="241" t="str">
        <f t="shared" si="21"/>
        <v/>
      </c>
      <c r="NU38" s="241" t="str">
        <f t="shared" si="22"/>
        <v/>
      </c>
      <c r="NV38" s="241" t="str">
        <f t="shared" si="110"/>
        <v/>
      </c>
      <c r="NW38" s="241" t="str">
        <f t="shared" si="23"/>
        <v/>
      </c>
      <c r="NX38" s="241" t="str">
        <f t="shared" si="24"/>
        <v/>
      </c>
      <c r="NY38" s="241" t="str">
        <f t="shared" si="25"/>
        <v/>
      </c>
      <c r="NZ38" s="241" t="str">
        <f t="shared" si="26"/>
        <v/>
      </c>
      <c r="OA38" s="241" t="str">
        <f t="shared" si="27"/>
        <v/>
      </c>
      <c r="OB38" s="241" t="str">
        <f t="shared" si="28"/>
        <v/>
      </c>
      <c r="OC38" s="241" t="str">
        <f t="shared" si="29"/>
        <v/>
      </c>
      <c r="OD38" s="241" t="str">
        <f t="shared" si="30"/>
        <v/>
      </c>
      <c r="OE38" s="241" t="str">
        <f t="shared" si="31"/>
        <v/>
      </c>
      <c r="OF38" s="241" t="str">
        <f t="shared" si="32"/>
        <v/>
      </c>
      <c r="OG38" s="241" t="str">
        <f t="shared" si="33"/>
        <v/>
      </c>
      <c r="OH38" s="241" t="str">
        <f t="shared" si="34"/>
        <v/>
      </c>
      <c r="OI38" s="241" t="str">
        <f t="shared" si="111"/>
        <v/>
      </c>
      <c r="OJ38" s="244" t="str">
        <f t="shared" si="112"/>
        <v/>
      </c>
      <c r="OK38" s="244" t="str">
        <f t="shared" si="113"/>
        <v/>
      </c>
      <c r="OL38" s="244" t="str">
        <f t="shared" si="114"/>
        <v/>
      </c>
      <c r="OM38" s="244" t="str">
        <f t="shared" si="115"/>
        <v/>
      </c>
      <c r="ON38" s="243" t="str">
        <f t="shared" si="35"/>
        <v/>
      </c>
      <c r="OO38" s="235"/>
      <c r="OP38" s="235"/>
      <c r="OQ38" s="244" t="str">
        <f t="shared" si="116"/>
        <v/>
      </c>
      <c r="OR38" s="244" t="str">
        <f t="shared" si="117"/>
        <v/>
      </c>
      <c r="OS38" s="250" t="str">
        <f t="shared" si="36"/>
        <v/>
      </c>
      <c r="OT38" s="250" t="str">
        <f t="shared" si="37"/>
        <v/>
      </c>
      <c r="OU38" s="245" t="str">
        <f t="shared" si="38"/>
        <v/>
      </c>
      <c r="OV38" s="245" t="str">
        <f t="shared" si="39"/>
        <v/>
      </c>
      <c r="OW38" s="234" t="str">
        <f t="shared" si="118"/>
        <v/>
      </c>
      <c r="OX38" s="246" t="str">
        <f t="shared" si="40"/>
        <v/>
      </c>
      <c r="OY38" s="233" t="str">
        <f t="shared" si="119"/>
        <v/>
      </c>
      <c r="OZ38" s="233" t="str">
        <f t="shared" si="41"/>
        <v/>
      </c>
      <c r="PA38" s="234" t="str">
        <f t="shared" si="120"/>
        <v/>
      </c>
      <c r="PB38" s="234" t="str">
        <f>IF(OR($CQ38="",$OZ38=""),"",IF($OZ38=0,0,
GuardLimitUpper(
  ($OZ38-$CQ38)/$OZ38,
  data_GuardLimitFlag,
  1)
))</f>
        <v/>
      </c>
      <c r="PC38" s="234" t="str">
        <f t="shared" si="42"/>
        <v/>
      </c>
      <c r="PD38" s="234" t="str">
        <f t="shared" si="43"/>
        <v/>
      </c>
      <c r="PE38" s="233" t="str">
        <f t="shared" si="121"/>
        <v/>
      </c>
      <c r="PF38" s="234" t="str">
        <f t="shared" si="122"/>
        <v/>
      </c>
      <c r="PG38" s="234" t="str">
        <f t="shared" si="44"/>
        <v/>
      </c>
      <c r="PH38" s="234" t="str">
        <f t="shared" si="45"/>
        <v/>
      </c>
      <c r="PI38" s="234" t="str">
        <f t="shared" si="46"/>
        <v/>
      </c>
      <c r="PJ38" s="247" t="str">
        <f t="shared" si="47"/>
        <v/>
      </c>
      <c r="PK38" s="247" t="str">
        <f t="shared" si="48"/>
        <v/>
      </c>
      <c r="PL38" s="248" t="str">
        <f t="shared" si="123"/>
        <v/>
      </c>
      <c r="PM38" s="248" t="str">
        <f t="shared" si="49"/>
        <v/>
      </c>
      <c r="PN38" s="248" t="str">
        <f t="shared" si="124"/>
        <v/>
      </c>
      <c r="PO38" s="248" t="str">
        <f t="shared" si="50"/>
        <v/>
      </c>
      <c r="PP38" s="566" t="str">
        <f t="shared" si="51"/>
        <v/>
      </c>
      <c r="PQ38" s="581" t="str">
        <f t="shared" si="125"/>
        <v/>
      </c>
      <c r="PR38" s="566" t="str">
        <f t="shared" si="52"/>
        <v/>
      </c>
      <c r="PS38" s="248" t="str">
        <f t="shared" si="53"/>
        <v/>
      </c>
      <c r="PT38" s="248" t="str">
        <f t="shared" si="126"/>
        <v/>
      </c>
      <c r="PU38" s="248" t="str">
        <f t="shared" si="54"/>
        <v/>
      </c>
      <c r="PV38" s="248" t="str">
        <f t="shared" si="127"/>
        <v/>
      </c>
      <c r="PW38" s="566" t="str">
        <f t="shared" si="55"/>
        <v/>
      </c>
      <c r="PX38" s="566" t="str">
        <f t="shared" si="161"/>
        <v/>
      </c>
      <c r="PY38" s="566" t="str">
        <f t="shared" si="56"/>
        <v/>
      </c>
      <c r="PZ38" s="248" t="str">
        <f t="shared" si="57"/>
        <v/>
      </c>
      <c r="QA38" s="248" t="str">
        <f t="shared" si="58"/>
        <v/>
      </c>
      <c r="QB38" s="248" t="str">
        <f t="shared" si="59"/>
        <v/>
      </c>
      <c r="QC38" s="248" t="str">
        <f t="shared" si="60"/>
        <v/>
      </c>
      <c r="QD38" s="248" t="str">
        <f t="shared" si="128"/>
        <v/>
      </c>
      <c r="QE38" s="248" t="str">
        <f t="shared" si="129"/>
        <v/>
      </c>
      <c r="QF38" s="248" t="str">
        <f t="shared" si="130"/>
        <v/>
      </c>
      <c r="QG38" s="249" t="str">
        <f t="shared" si="61"/>
        <v/>
      </c>
      <c r="QH38" s="249" t="str">
        <f t="shared" si="62"/>
        <v/>
      </c>
      <c r="QI38" s="249" t="str">
        <f t="shared" si="63"/>
        <v/>
      </c>
      <c r="QJ38" s="249" t="str">
        <f t="shared" si="64"/>
        <v/>
      </c>
      <c r="QK38" s="249" t="str">
        <f t="shared" si="65"/>
        <v/>
      </c>
      <c r="QL38" s="249" t="str">
        <f t="shared" si="131"/>
        <v/>
      </c>
      <c r="QM38" s="249" t="str">
        <f>IF(OR($O$8="Lv2",$O$8="Lv3",$O$8="Lv4"),IF(OR($AS38="",COUNT($PL38:$QL38)=0),"",
GuardLimitLower(
  $AS38-SUM($PL38:$QL38),
  data_GuardLimitFlag,
  0)
),"")</f>
        <v/>
      </c>
      <c r="QN38" s="249" t="str">
        <f t="shared" si="132"/>
        <v/>
      </c>
      <c r="QO38" s="251" t="str">
        <f t="shared" si="133"/>
        <v/>
      </c>
      <c r="QP38" s="251" t="str">
        <f t="shared" si="134"/>
        <v/>
      </c>
      <c r="QQ38" s="251" t="str">
        <f t="shared" si="135"/>
        <v/>
      </c>
      <c r="QR38" s="251" t="str">
        <f t="shared" si="66"/>
        <v/>
      </c>
      <c r="QS38" s="234" t="str">
        <f t="shared" si="67"/>
        <v/>
      </c>
      <c r="QT38" s="234" t="str">
        <f t="shared" si="68"/>
        <v/>
      </c>
      <c r="QU38" s="234" t="str">
        <f t="shared" si="69"/>
        <v/>
      </c>
      <c r="QV38" s="233" t="str">
        <f t="shared" si="70"/>
        <v/>
      </c>
      <c r="QW38" s="233" t="str">
        <f t="shared" si="71"/>
        <v/>
      </c>
      <c r="QX38" s="233" t="str">
        <f t="shared" si="72"/>
        <v/>
      </c>
      <c r="QY38" s="233" t="str">
        <f t="shared" si="73"/>
        <v/>
      </c>
      <c r="QZ38" s="233" t="str">
        <f t="shared" si="74"/>
        <v/>
      </c>
      <c r="RA38" s="234" t="str">
        <f t="shared" si="136"/>
        <v/>
      </c>
      <c r="RB38" s="234" t="str">
        <f t="shared" si="75"/>
        <v/>
      </c>
      <c r="RC38" s="234" t="str">
        <f t="shared" si="76"/>
        <v/>
      </c>
      <c r="RD38" s="234" t="str">
        <f t="shared" si="77"/>
        <v/>
      </c>
      <c r="RE38" s="234" t="str">
        <f t="shared" si="78"/>
        <v/>
      </c>
      <c r="RF38" s="234" t="str">
        <f t="shared" si="79"/>
        <v/>
      </c>
      <c r="RG38" s="234" t="str">
        <f t="shared" si="80"/>
        <v/>
      </c>
      <c r="RH38" s="234" t="str">
        <f t="shared" si="81"/>
        <v/>
      </c>
      <c r="RI38" s="234" t="str">
        <f t="shared" si="82"/>
        <v/>
      </c>
      <c r="RJ38" s="150"/>
      <c r="RK38" s="150"/>
      <c r="RL38" s="150"/>
      <c r="RM38" s="150"/>
      <c r="RN38" s="150"/>
      <c r="RO38" s="150"/>
      <c r="RP38" s="150"/>
      <c r="RQ38" s="150"/>
      <c r="RR38" s="249" t="str">
        <f t="shared" si="83"/>
        <v/>
      </c>
      <c r="RS38" s="253"/>
      <c r="RT38" s="253"/>
      <c r="RU38" s="233" t="str">
        <f t="shared" si="137"/>
        <v/>
      </c>
      <c r="RV38" s="233" t="str">
        <f t="shared" si="138"/>
        <v/>
      </c>
      <c r="RW38" s="233" t="str">
        <f t="shared" si="139"/>
        <v/>
      </c>
      <c r="RX38" s="233" t="str">
        <f t="shared" si="140"/>
        <v/>
      </c>
      <c r="RY38" s="233" t="str">
        <f t="shared" si="141"/>
        <v/>
      </c>
      <c r="RZ38" s="233" t="str">
        <f t="shared" si="84"/>
        <v/>
      </c>
      <c r="SA38" s="233" t="str">
        <f t="shared" si="85"/>
        <v/>
      </c>
      <c r="SB38" s="233" t="str">
        <f t="shared" si="86"/>
        <v/>
      </c>
      <c r="SC38" s="233" t="str">
        <f t="shared" si="87"/>
        <v/>
      </c>
      <c r="SD38" s="233" t="str">
        <f t="shared" si="88"/>
        <v/>
      </c>
      <c r="SE38" s="233" t="str">
        <f t="shared" si="89"/>
        <v/>
      </c>
      <c r="SF38" s="233" t="str">
        <f t="shared" si="90"/>
        <v/>
      </c>
      <c r="SG38" s="233" t="str">
        <f t="shared" si="91"/>
        <v/>
      </c>
      <c r="SH38" s="233" t="str">
        <f t="shared" si="92"/>
        <v/>
      </c>
      <c r="SI38" s="233" t="str">
        <f t="shared" si="93"/>
        <v/>
      </c>
      <c r="SJ38" s="233" t="str">
        <f t="shared" si="94"/>
        <v/>
      </c>
      <c r="SK38" s="233" t="str">
        <f t="shared" si="95"/>
        <v/>
      </c>
      <c r="SL38" s="233" t="str">
        <f t="shared" si="96"/>
        <v/>
      </c>
      <c r="SM38" s="254" t="str">
        <f t="shared" si="142"/>
        <v/>
      </c>
      <c r="SN38" s="255" t="str">
        <f t="shared" si="97"/>
        <v/>
      </c>
      <c r="SO38" s="234" t="str">
        <f t="shared" si="143"/>
        <v/>
      </c>
      <c r="SP38" s="234" t="str">
        <f t="shared" si="144"/>
        <v/>
      </c>
      <c r="SQ38" s="249" t="str">
        <f t="shared" si="145"/>
        <v/>
      </c>
      <c r="SR38" s="249" t="str">
        <f t="shared" si="146"/>
        <v/>
      </c>
      <c r="SS38" s="249" t="str">
        <f t="shared" si="147"/>
        <v/>
      </c>
      <c r="ST38" s="249" t="str">
        <f t="shared" si="148"/>
        <v/>
      </c>
      <c r="SU38" s="249" t="str">
        <f t="shared" si="149"/>
        <v/>
      </c>
      <c r="SV38" s="249" t="str">
        <f t="shared" si="150"/>
        <v/>
      </c>
      <c r="SW38" s="249" t="str">
        <f t="shared" si="151"/>
        <v/>
      </c>
      <c r="SX38" s="249" t="str">
        <f t="shared" si="152"/>
        <v/>
      </c>
      <c r="SY38" s="249" t="str">
        <f t="shared" si="153"/>
        <v/>
      </c>
      <c r="SZ38" s="249" t="str">
        <f t="shared" si="154"/>
        <v/>
      </c>
      <c r="TA38" s="249" t="str">
        <f t="shared" si="155"/>
        <v/>
      </c>
      <c r="TB38" s="249" t="str">
        <f t="shared" si="156"/>
        <v/>
      </c>
      <c r="TC38" s="249" t="str">
        <f t="shared" si="98"/>
        <v/>
      </c>
      <c r="TD38" s="249" t="str">
        <f t="shared" si="157"/>
        <v/>
      </c>
      <c r="TE38" s="249" t="str">
        <f t="shared" si="158"/>
        <v/>
      </c>
      <c r="TF38" s="249" t="str">
        <f t="shared" si="159"/>
        <v/>
      </c>
      <c r="TG38" s="249" t="str">
        <f t="shared" si="160"/>
        <v/>
      </c>
      <c r="TQ38" s="346"/>
      <c r="TR38" s="424"/>
      <c r="TS38" s="850" t="s">
        <v>1380</v>
      </c>
      <c r="TT38" s="850" t="s">
        <v>1751</v>
      </c>
      <c r="TU38" s="850" t="s">
        <v>464</v>
      </c>
      <c r="TV38" s="850" t="s">
        <v>465</v>
      </c>
      <c r="TW38" s="850" t="s">
        <v>953</v>
      </c>
      <c r="TX38" s="850" t="s">
        <v>1420</v>
      </c>
      <c r="TY38" s="850" t="s">
        <v>1712</v>
      </c>
      <c r="TZ38" s="850" t="s">
        <v>1421</v>
      </c>
      <c r="UA38" s="850" t="s">
        <v>1422</v>
      </c>
      <c r="UC38" s="425"/>
      <c r="UD38" s="424"/>
      <c r="UE38" s="850" t="s">
        <v>1749</v>
      </c>
      <c r="UF38" s="850" t="s">
        <v>1750</v>
      </c>
      <c r="UG38" s="850" t="s">
        <v>1381</v>
      </c>
      <c r="UH38" s="850" t="s">
        <v>1748</v>
      </c>
      <c r="UI38" s="850" t="s">
        <v>1745</v>
      </c>
      <c r="UJ38" s="850" t="s">
        <v>1746</v>
      </c>
      <c r="UK38" s="850" t="s">
        <v>1747</v>
      </c>
      <c r="UL38" s="850" t="s">
        <v>1950</v>
      </c>
      <c r="UM38" s="850" t="s">
        <v>1434</v>
      </c>
      <c r="UN38" s="850" t="s">
        <v>1326</v>
      </c>
      <c r="UO38" s="850" t="s">
        <v>1435</v>
      </c>
      <c r="UP38" s="850" t="s">
        <v>1436</v>
      </c>
      <c r="UQ38" s="850" t="s">
        <v>1437</v>
      </c>
      <c r="UR38" s="850" t="s">
        <v>1420</v>
      </c>
      <c r="US38" s="850" t="s">
        <v>1423</v>
      </c>
      <c r="UT38" s="850" t="s">
        <v>1421</v>
      </c>
      <c r="UU38" s="850" t="s">
        <v>298</v>
      </c>
      <c r="UV38" s="850" t="s">
        <v>299</v>
      </c>
      <c r="UW38" s="850" t="s">
        <v>300</v>
      </c>
      <c r="UX38" s="850" t="s">
        <v>1422</v>
      </c>
      <c r="WC38" s="270"/>
      <c r="WD38" s="270"/>
      <c r="WE38" s="270"/>
      <c r="WF38" s="270"/>
      <c r="WG38" s="270"/>
      <c r="WH38" s="270"/>
      <c r="WI38" s="270"/>
      <c r="WJ38" s="270"/>
      <c r="WK38" s="270"/>
      <c r="WL38" s="270"/>
      <c r="WM38" s="270"/>
      <c r="WN38" s="270"/>
      <c r="WO38" s="270"/>
      <c r="WP38" s="270"/>
      <c r="WQ38" s="270"/>
      <c r="WR38" s="270"/>
      <c r="WS38" s="270"/>
    </row>
    <row r="39" spans="28:617" x14ac:dyDescent="0.25">
      <c r="AB39" s="287">
        <v>9</v>
      </c>
      <c r="AC39" s="637"/>
      <c r="AD39" s="637"/>
      <c r="AE39" s="637"/>
      <c r="AF39" s="637"/>
      <c r="AG39" s="637"/>
      <c r="AH39" s="637"/>
      <c r="AI39" s="637"/>
      <c r="AJ39" s="637"/>
      <c r="AK39" s="638"/>
      <c r="AL39" s="638"/>
      <c r="AM39" s="637"/>
      <c r="AN39" s="637"/>
      <c r="AO39" s="637"/>
      <c r="AP39" s="637"/>
      <c r="AQ39" s="639"/>
      <c r="AR39" s="639"/>
      <c r="AS39" s="638"/>
      <c r="AT39" s="638"/>
      <c r="AU39" s="637"/>
      <c r="AV39" s="637"/>
      <c r="AW39" s="637"/>
      <c r="AX39" s="637"/>
      <c r="AY39" s="637"/>
      <c r="AZ39" s="637"/>
      <c r="BA39" s="637"/>
      <c r="BB39" s="637"/>
      <c r="BC39" s="637"/>
      <c r="BD39" s="637"/>
      <c r="BE39" s="637"/>
      <c r="BF39" s="639"/>
      <c r="BG39" s="637"/>
      <c r="BH39" s="639"/>
      <c r="BI39" s="637"/>
      <c r="BJ39" s="637"/>
      <c r="BK39" s="637"/>
      <c r="BL39" s="637"/>
      <c r="BM39" s="637"/>
      <c r="BN39" s="637"/>
      <c r="BO39" s="637"/>
      <c r="BP39" s="637"/>
      <c r="BQ39" s="637"/>
      <c r="BR39" s="637"/>
      <c r="BS39" s="637"/>
      <c r="BT39" s="637"/>
      <c r="BU39" s="637"/>
      <c r="BV39" s="637"/>
      <c r="BW39" s="638"/>
      <c r="BX39" s="638"/>
      <c r="BY39" s="637"/>
      <c r="BZ39" s="637"/>
      <c r="CA39" s="637"/>
      <c r="CB39" s="637"/>
      <c r="CC39" s="637"/>
      <c r="CD39" s="637"/>
      <c r="CE39" s="637"/>
      <c r="CF39" s="637"/>
      <c r="CG39" s="637"/>
      <c r="CH39" s="637"/>
      <c r="CI39" s="637"/>
      <c r="CJ39" s="637"/>
      <c r="CK39" s="637"/>
      <c r="CL39" s="637"/>
      <c r="CM39" s="637"/>
      <c r="CN39" s="637"/>
      <c r="CO39" s="637"/>
      <c r="CP39" s="637"/>
      <c r="CQ39" s="637"/>
      <c r="CR39" s="637"/>
      <c r="CS39" s="637"/>
      <c r="CT39" s="637"/>
      <c r="CU39" s="637"/>
      <c r="CV39" s="637"/>
      <c r="CW39" s="637"/>
      <c r="CX39" s="637"/>
      <c r="CY39" s="637"/>
      <c r="CZ39" s="637"/>
      <c r="DA39" s="637"/>
      <c r="DB39" s="637"/>
      <c r="DC39" s="637"/>
      <c r="DD39" s="637"/>
      <c r="DE39" s="637"/>
      <c r="DF39" s="640"/>
      <c r="DG39" s="637"/>
      <c r="DH39" s="637"/>
      <c r="DI39" s="637"/>
      <c r="DJ39" s="637"/>
      <c r="DK39" s="637"/>
      <c r="DL39" s="637"/>
      <c r="DM39" s="637"/>
      <c r="DN39" s="637"/>
      <c r="DO39" s="639"/>
      <c r="DP39" s="639"/>
      <c r="DQ39" s="639"/>
      <c r="DR39" s="639"/>
      <c r="DS39" s="639"/>
      <c r="DT39" s="639"/>
      <c r="DU39" s="639"/>
      <c r="DV39" s="639"/>
      <c r="DW39" s="639"/>
      <c r="DX39" s="639"/>
      <c r="DY39" s="639"/>
      <c r="DZ39" s="639"/>
      <c r="EA39" s="639"/>
      <c r="EB39" s="637"/>
      <c r="EC39" s="639"/>
      <c r="ED39" s="639"/>
      <c r="EE39" s="639"/>
      <c r="EF39" s="639"/>
      <c r="EG39" s="639"/>
      <c r="EH39" s="639"/>
      <c r="EI39" s="639"/>
      <c r="EJ39" s="639"/>
      <c r="EK39" s="639"/>
      <c r="EL39" s="639"/>
      <c r="EM39" s="639"/>
      <c r="EN39" s="639"/>
      <c r="EO39" s="639"/>
      <c r="EP39" s="639"/>
      <c r="EQ39" s="639"/>
      <c r="ER39" s="639"/>
      <c r="ES39" s="637"/>
      <c r="ET39" s="639"/>
      <c r="EU39" s="639"/>
      <c r="EV39" s="639"/>
      <c r="EW39" s="639"/>
      <c r="EX39" s="639"/>
      <c r="EY39" s="639"/>
      <c r="EZ39" s="639"/>
      <c r="FA39" s="639"/>
      <c r="FB39" s="639"/>
      <c r="FC39" s="639"/>
      <c r="FD39" s="639"/>
      <c r="FE39" s="639"/>
      <c r="FF39" s="639"/>
      <c r="FG39" s="639"/>
      <c r="FH39" s="639"/>
      <c r="FI39" s="639"/>
      <c r="FJ39" s="639"/>
      <c r="FK39" s="639"/>
      <c r="FL39" s="639"/>
      <c r="FM39" s="639"/>
      <c r="FN39" s="639"/>
      <c r="FO39" s="637"/>
      <c r="FP39" s="637"/>
      <c r="FQ39" s="639"/>
      <c r="FR39" s="639"/>
      <c r="FS39" s="639"/>
      <c r="FT39" s="639"/>
      <c r="FU39" s="639"/>
      <c r="FV39" s="639"/>
      <c r="FW39" s="639"/>
      <c r="FX39" s="639"/>
      <c r="FY39" s="639"/>
      <c r="FZ39" s="639"/>
      <c r="GA39" s="639"/>
      <c r="GB39" s="639"/>
      <c r="GC39" s="639"/>
      <c r="GD39" s="639"/>
      <c r="GE39" s="639"/>
      <c r="GF39" s="639"/>
      <c r="GG39" s="639"/>
      <c r="GH39" s="639"/>
      <c r="GI39" s="639"/>
      <c r="GJ39" s="639"/>
      <c r="GK39" s="639"/>
      <c r="GL39" s="639"/>
      <c r="GM39" s="639"/>
      <c r="GN39" s="639"/>
      <c r="GO39" s="639"/>
      <c r="GP39" s="639"/>
      <c r="GQ39" s="639"/>
      <c r="GR39" s="639"/>
      <c r="GS39" s="639"/>
      <c r="GT39" s="639"/>
      <c r="GU39" s="639"/>
      <c r="GV39" s="639"/>
      <c r="GW39" s="639"/>
      <c r="GX39" s="639"/>
      <c r="GY39" s="639"/>
      <c r="GZ39" s="639"/>
      <c r="HA39" s="639"/>
      <c r="HB39" s="639"/>
      <c r="HC39" s="639"/>
      <c r="HD39" s="639"/>
      <c r="HE39" s="639"/>
      <c r="HF39" s="639"/>
      <c r="HG39" s="639"/>
      <c r="HH39" s="639"/>
      <c r="HI39" s="639"/>
      <c r="HJ39" s="639"/>
      <c r="HK39" s="639"/>
      <c r="HL39" s="639"/>
      <c r="HM39" s="639"/>
      <c r="HN39" s="639"/>
      <c r="HO39" s="639"/>
      <c r="HP39" s="639"/>
      <c r="HQ39" s="639"/>
      <c r="HR39" s="639"/>
      <c r="HS39" s="639"/>
      <c r="HT39" s="639"/>
      <c r="HU39" s="639"/>
      <c r="HV39" s="639"/>
      <c r="HW39" s="639"/>
      <c r="HX39" s="639"/>
      <c r="HY39" s="639"/>
      <c r="HZ39" s="639"/>
      <c r="IA39" s="639"/>
      <c r="IB39" s="639"/>
      <c r="IC39" s="639"/>
      <c r="ID39" s="639"/>
      <c r="IE39" s="639"/>
      <c r="IF39" s="639"/>
      <c r="IG39" s="639"/>
      <c r="IH39" s="639"/>
      <c r="II39" s="639"/>
      <c r="IJ39" s="639"/>
      <c r="IK39" s="639"/>
      <c r="IL39" s="639"/>
      <c r="IM39" s="639"/>
      <c r="IN39" s="639"/>
      <c r="IO39" s="639"/>
      <c r="IP39" s="639"/>
      <c r="IQ39" s="639"/>
      <c r="IR39" s="639"/>
      <c r="IS39" s="639"/>
      <c r="IT39" s="639"/>
      <c r="IU39" s="639"/>
      <c r="IV39" s="639"/>
      <c r="IW39" s="639"/>
      <c r="IX39" s="639"/>
      <c r="IY39" s="639"/>
      <c r="IZ39" s="639"/>
      <c r="JA39" s="639"/>
      <c r="JB39" s="639"/>
      <c r="JC39" s="639"/>
      <c r="JD39" s="639"/>
      <c r="JE39" s="639"/>
      <c r="JF39" s="639"/>
      <c r="JG39" s="639"/>
      <c r="JH39" s="639"/>
      <c r="JI39" s="639"/>
      <c r="JJ39" s="639"/>
      <c r="JK39" s="639"/>
      <c r="JL39" s="639"/>
      <c r="JM39" s="639"/>
      <c r="JN39" s="639"/>
      <c r="JO39" s="639"/>
      <c r="JP39" s="639"/>
      <c r="JQ39" s="639"/>
      <c r="JR39" s="639"/>
      <c r="JS39" s="639"/>
      <c r="JT39" s="639"/>
      <c r="JU39" s="639"/>
      <c r="JV39" s="639"/>
      <c r="JW39" s="639"/>
      <c r="JX39" s="639"/>
      <c r="JY39" s="639"/>
      <c r="JZ39" s="639"/>
      <c r="KA39" s="639"/>
      <c r="KB39" s="639"/>
      <c r="KC39" s="639"/>
      <c r="KD39" s="639"/>
      <c r="KE39" s="639"/>
      <c r="KF39" s="639"/>
      <c r="KG39" s="639"/>
      <c r="KH39" s="639"/>
      <c r="KI39" s="639"/>
      <c r="KJ39" s="639"/>
      <c r="KK39" s="639"/>
      <c r="KL39" s="639"/>
      <c r="KM39" s="639"/>
      <c r="KN39" s="639"/>
      <c r="KO39" s="639"/>
      <c r="KP39" s="639"/>
      <c r="KQ39" s="639"/>
      <c r="KR39" s="639"/>
      <c r="KS39" s="639"/>
      <c r="KT39" s="639"/>
      <c r="KU39" s="639"/>
      <c r="KV39" s="639"/>
      <c r="KW39" s="639"/>
      <c r="KX39" s="639"/>
      <c r="KY39" s="639"/>
      <c r="KZ39" s="639"/>
      <c r="LA39" s="639"/>
      <c r="LB39" s="639"/>
      <c r="LC39" s="639"/>
      <c r="LD39" s="639"/>
      <c r="LE39" s="639"/>
      <c r="LF39" s="639"/>
      <c r="LG39" s="639"/>
      <c r="LH39" s="639"/>
      <c r="LI39" s="639"/>
      <c r="LJ39" s="639"/>
      <c r="LK39" s="639"/>
      <c r="LL39" s="639"/>
      <c r="LM39" s="639"/>
      <c r="LN39" s="639"/>
      <c r="LO39" s="639"/>
      <c r="LP39" s="639"/>
      <c r="LQ39" s="639"/>
      <c r="LR39" s="639"/>
      <c r="LS39" s="639"/>
      <c r="LT39" s="639"/>
      <c r="LU39" s="639"/>
      <c r="LV39" s="639"/>
      <c r="MC39" s="284" t="s">
        <v>1192</v>
      </c>
      <c r="MD39" s="417"/>
      <c r="ME39" s="418"/>
      <c r="MF39" s="418"/>
      <c r="MG39" s="418"/>
      <c r="MH39" s="418"/>
      <c r="MI39" s="418"/>
      <c r="MJ39" s="418"/>
      <c r="MK39" s="418"/>
      <c r="ML39" s="418"/>
      <c r="MM39" s="418"/>
      <c r="MN39" s="418"/>
      <c r="MO39" s="418"/>
      <c r="MP39" s="418"/>
      <c r="MQ39" s="418"/>
      <c r="MR39" s="418"/>
      <c r="MS39" s="418"/>
      <c r="MT39" s="419"/>
      <c r="NA39" s="470" t="str">
        <f t="shared" si="99"/>
        <v/>
      </c>
      <c r="NB39" s="470" t="str">
        <f t="shared" si="100"/>
        <v/>
      </c>
      <c r="NC39" s="232" t="str">
        <f t="shared" si="101"/>
        <v/>
      </c>
      <c r="ND39" s="233" t="str">
        <f t="shared" si="102"/>
        <v/>
      </c>
      <c r="NE39" s="234" t="str">
        <f t="shared" si="14"/>
        <v/>
      </c>
      <c r="NF39" s="233" t="str">
        <f t="shared" si="15"/>
        <v/>
      </c>
      <c r="NG39" s="235"/>
      <c r="NH39" s="236" t="str">
        <f t="shared" si="103"/>
        <v/>
      </c>
      <c r="NI39" s="233" t="str">
        <f t="shared" si="16"/>
        <v/>
      </c>
      <c r="NJ39" s="237" t="str">
        <f t="shared" si="104"/>
        <v/>
      </c>
      <c r="NK39" s="238" t="str">
        <f t="shared" si="105"/>
        <v/>
      </c>
      <c r="NL39" s="239" t="str">
        <f t="shared" si="17"/>
        <v/>
      </c>
      <c r="NM39" s="240" t="str">
        <f t="shared" si="106"/>
        <v/>
      </c>
      <c r="NN39" s="240" t="str">
        <f t="shared" si="18"/>
        <v/>
      </c>
      <c r="NO39" s="241" t="str">
        <f t="shared" si="19"/>
        <v/>
      </c>
      <c r="NP39" s="242" t="str">
        <f t="shared" si="107"/>
        <v/>
      </c>
      <c r="NQ39" s="241" t="str">
        <f t="shared" si="108"/>
        <v/>
      </c>
      <c r="NR39" s="241" t="str">
        <f t="shared" si="109"/>
        <v/>
      </c>
      <c r="NS39" s="241" t="str">
        <f t="shared" si="20"/>
        <v/>
      </c>
      <c r="NT39" s="241" t="str">
        <f t="shared" si="21"/>
        <v/>
      </c>
      <c r="NU39" s="241" t="str">
        <f t="shared" si="22"/>
        <v/>
      </c>
      <c r="NV39" s="241" t="str">
        <f t="shared" si="110"/>
        <v/>
      </c>
      <c r="NW39" s="241" t="str">
        <f t="shared" si="23"/>
        <v/>
      </c>
      <c r="NX39" s="241" t="str">
        <f t="shared" si="24"/>
        <v/>
      </c>
      <c r="NY39" s="241" t="str">
        <f t="shared" si="25"/>
        <v/>
      </c>
      <c r="NZ39" s="241" t="str">
        <f t="shared" si="26"/>
        <v/>
      </c>
      <c r="OA39" s="241" t="str">
        <f t="shared" si="27"/>
        <v/>
      </c>
      <c r="OB39" s="241" t="str">
        <f t="shared" si="28"/>
        <v/>
      </c>
      <c r="OC39" s="241" t="str">
        <f t="shared" si="29"/>
        <v/>
      </c>
      <c r="OD39" s="241" t="str">
        <f t="shared" si="30"/>
        <v/>
      </c>
      <c r="OE39" s="241" t="str">
        <f t="shared" si="31"/>
        <v/>
      </c>
      <c r="OF39" s="241" t="str">
        <f t="shared" si="32"/>
        <v/>
      </c>
      <c r="OG39" s="241" t="str">
        <f t="shared" si="33"/>
        <v/>
      </c>
      <c r="OH39" s="241" t="str">
        <f t="shared" si="34"/>
        <v/>
      </c>
      <c r="OI39" s="241" t="str">
        <f t="shared" si="111"/>
        <v/>
      </c>
      <c r="OJ39" s="244" t="str">
        <f t="shared" si="112"/>
        <v/>
      </c>
      <c r="OK39" s="244" t="str">
        <f t="shared" si="113"/>
        <v/>
      </c>
      <c r="OL39" s="244" t="str">
        <f t="shared" si="114"/>
        <v/>
      </c>
      <c r="OM39" s="244" t="str">
        <f t="shared" si="115"/>
        <v/>
      </c>
      <c r="ON39" s="243" t="str">
        <f t="shared" si="35"/>
        <v/>
      </c>
      <c r="OO39" s="235"/>
      <c r="OP39" s="235"/>
      <c r="OQ39" s="244" t="str">
        <f t="shared" si="116"/>
        <v/>
      </c>
      <c r="OR39" s="244" t="str">
        <f t="shared" si="117"/>
        <v/>
      </c>
      <c r="OS39" s="250" t="str">
        <f t="shared" si="36"/>
        <v/>
      </c>
      <c r="OT39" s="250" t="str">
        <f t="shared" si="37"/>
        <v/>
      </c>
      <c r="OU39" s="245" t="str">
        <f t="shared" si="38"/>
        <v/>
      </c>
      <c r="OV39" s="245" t="str">
        <f t="shared" si="39"/>
        <v/>
      </c>
      <c r="OW39" s="234" t="str">
        <f t="shared" si="118"/>
        <v/>
      </c>
      <c r="OX39" s="246" t="str">
        <f t="shared" si="40"/>
        <v/>
      </c>
      <c r="OY39" s="233" t="str">
        <f t="shared" si="119"/>
        <v/>
      </c>
      <c r="OZ39" s="233" t="str">
        <f t="shared" si="41"/>
        <v/>
      </c>
      <c r="PA39" s="234" t="str">
        <f t="shared" si="120"/>
        <v/>
      </c>
      <c r="PB39" s="234" t="str">
        <f>IF(OR($CQ39="",$OZ39=""),"",IF($OZ39=0,0,
GuardLimitUpper(
  ($OZ39-$CQ39)/$OZ39,
  data_GuardLimitFlag,
  1)
))</f>
        <v/>
      </c>
      <c r="PC39" s="234" t="str">
        <f t="shared" si="42"/>
        <v/>
      </c>
      <c r="PD39" s="234" t="str">
        <f t="shared" si="43"/>
        <v/>
      </c>
      <c r="PE39" s="233" t="str">
        <f t="shared" si="121"/>
        <v/>
      </c>
      <c r="PF39" s="234" t="str">
        <f t="shared" si="122"/>
        <v/>
      </c>
      <c r="PG39" s="234" t="str">
        <f t="shared" si="44"/>
        <v/>
      </c>
      <c r="PH39" s="234" t="str">
        <f t="shared" si="45"/>
        <v/>
      </c>
      <c r="PI39" s="234" t="str">
        <f t="shared" si="46"/>
        <v/>
      </c>
      <c r="PJ39" s="247" t="str">
        <f t="shared" si="47"/>
        <v/>
      </c>
      <c r="PK39" s="247" t="str">
        <f t="shared" si="48"/>
        <v/>
      </c>
      <c r="PL39" s="248" t="str">
        <f t="shared" si="123"/>
        <v/>
      </c>
      <c r="PM39" s="248" t="str">
        <f t="shared" si="49"/>
        <v/>
      </c>
      <c r="PN39" s="248" t="str">
        <f t="shared" si="124"/>
        <v/>
      </c>
      <c r="PO39" s="248" t="str">
        <f t="shared" si="50"/>
        <v/>
      </c>
      <c r="PP39" s="566" t="str">
        <f t="shared" si="51"/>
        <v/>
      </c>
      <c r="PQ39" s="581" t="str">
        <f t="shared" si="125"/>
        <v/>
      </c>
      <c r="PR39" s="566" t="str">
        <f t="shared" si="52"/>
        <v/>
      </c>
      <c r="PS39" s="248" t="str">
        <f t="shared" si="53"/>
        <v/>
      </c>
      <c r="PT39" s="248" t="str">
        <f t="shared" si="126"/>
        <v/>
      </c>
      <c r="PU39" s="248" t="str">
        <f t="shared" si="54"/>
        <v/>
      </c>
      <c r="PV39" s="248" t="str">
        <f t="shared" si="127"/>
        <v/>
      </c>
      <c r="PW39" s="566" t="str">
        <f t="shared" si="55"/>
        <v/>
      </c>
      <c r="PX39" s="566" t="str">
        <f t="shared" si="161"/>
        <v/>
      </c>
      <c r="PY39" s="566" t="str">
        <f t="shared" si="56"/>
        <v/>
      </c>
      <c r="PZ39" s="248" t="str">
        <f t="shared" si="57"/>
        <v/>
      </c>
      <c r="QA39" s="248" t="str">
        <f t="shared" si="58"/>
        <v/>
      </c>
      <c r="QB39" s="248" t="str">
        <f t="shared" si="59"/>
        <v/>
      </c>
      <c r="QC39" s="248" t="str">
        <f t="shared" si="60"/>
        <v/>
      </c>
      <c r="QD39" s="248" t="str">
        <f t="shared" si="128"/>
        <v/>
      </c>
      <c r="QE39" s="248" t="str">
        <f t="shared" si="129"/>
        <v/>
      </c>
      <c r="QF39" s="248" t="str">
        <f t="shared" si="130"/>
        <v/>
      </c>
      <c r="QG39" s="249" t="str">
        <f t="shared" si="61"/>
        <v/>
      </c>
      <c r="QH39" s="249" t="str">
        <f t="shared" si="62"/>
        <v/>
      </c>
      <c r="QI39" s="249" t="str">
        <f t="shared" si="63"/>
        <v/>
      </c>
      <c r="QJ39" s="249" t="str">
        <f t="shared" si="64"/>
        <v/>
      </c>
      <c r="QK39" s="249" t="str">
        <f t="shared" si="65"/>
        <v/>
      </c>
      <c r="QL39" s="249" t="str">
        <f t="shared" si="131"/>
        <v/>
      </c>
      <c r="QM39" s="249" t="str">
        <f>IF(OR($O$8="Lv2",$O$8="Lv3",$O$8="Lv4"),IF(OR($AS39="",COUNT($PL39:$QL39)=0),"",
GuardLimitLower(
  $AS39-SUM($PL39:$QL39),
  data_GuardLimitFlag,
  0)
),"")</f>
        <v/>
      </c>
      <c r="QN39" s="249" t="str">
        <f t="shared" si="132"/>
        <v/>
      </c>
      <c r="QO39" s="251" t="str">
        <f t="shared" si="133"/>
        <v/>
      </c>
      <c r="QP39" s="251" t="str">
        <f t="shared" si="134"/>
        <v/>
      </c>
      <c r="QQ39" s="251" t="str">
        <f t="shared" si="135"/>
        <v/>
      </c>
      <c r="QR39" s="251" t="str">
        <f t="shared" si="66"/>
        <v/>
      </c>
      <c r="QS39" s="234" t="str">
        <f t="shared" si="67"/>
        <v/>
      </c>
      <c r="QT39" s="234" t="str">
        <f t="shared" si="68"/>
        <v/>
      </c>
      <c r="QU39" s="234" t="str">
        <f t="shared" si="69"/>
        <v/>
      </c>
      <c r="QV39" s="233" t="str">
        <f t="shared" si="70"/>
        <v/>
      </c>
      <c r="QW39" s="233" t="str">
        <f t="shared" si="71"/>
        <v/>
      </c>
      <c r="QX39" s="233" t="str">
        <f t="shared" si="72"/>
        <v/>
      </c>
      <c r="QY39" s="233" t="str">
        <f t="shared" si="73"/>
        <v/>
      </c>
      <c r="QZ39" s="233" t="str">
        <f t="shared" si="74"/>
        <v/>
      </c>
      <c r="RA39" s="234" t="str">
        <f t="shared" si="136"/>
        <v/>
      </c>
      <c r="RB39" s="234" t="str">
        <f t="shared" si="75"/>
        <v/>
      </c>
      <c r="RC39" s="234" t="str">
        <f t="shared" si="76"/>
        <v/>
      </c>
      <c r="RD39" s="234" t="str">
        <f t="shared" si="77"/>
        <v/>
      </c>
      <c r="RE39" s="234" t="str">
        <f t="shared" si="78"/>
        <v/>
      </c>
      <c r="RF39" s="234" t="str">
        <f t="shared" si="79"/>
        <v/>
      </c>
      <c r="RG39" s="234" t="str">
        <f t="shared" si="80"/>
        <v/>
      </c>
      <c r="RH39" s="234" t="str">
        <f t="shared" si="81"/>
        <v/>
      </c>
      <c r="RI39" s="234" t="str">
        <f t="shared" si="82"/>
        <v/>
      </c>
      <c r="RJ39" s="150"/>
      <c r="RK39" s="150"/>
      <c r="RL39" s="150"/>
      <c r="RM39" s="150"/>
      <c r="RN39" s="150"/>
      <c r="RO39" s="150"/>
      <c r="RP39" s="150"/>
      <c r="RQ39" s="150"/>
      <c r="RR39" s="249" t="str">
        <f t="shared" si="83"/>
        <v/>
      </c>
      <c r="RS39" s="253"/>
      <c r="RT39" s="253"/>
      <c r="RU39" s="233" t="str">
        <f t="shared" si="137"/>
        <v/>
      </c>
      <c r="RV39" s="233" t="str">
        <f t="shared" si="138"/>
        <v/>
      </c>
      <c r="RW39" s="233" t="str">
        <f t="shared" si="139"/>
        <v/>
      </c>
      <c r="RX39" s="233" t="str">
        <f t="shared" si="140"/>
        <v/>
      </c>
      <c r="RY39" s="233" t="str">
        <f t="shared" si="141"/>
        <v/>
      </c>
      <c r="RZ39" s="233" t="str">
        <f t="shared" si="84"/>
        <v/>
      </c>
      <c r="SA39" s="233" t="str">
        <f t="shared" si="85"/>
        <v/>
      </c>
      <c r="SB39" s="233" t="str">
        <f t="shared" si="86"/>
        <v/>
      </c>
      <c r="SC39" s="233" t="str">
        <f t="shared" si="87"/>
        <v/>
      </c>
      <c r="SD39" s="233" t="str">
        <f t="shared" si="88"/>
        <v/>
      </c>
      <c r="SE39" s="233" t="str">
        <f t="shared" si="89"/>
        <v/>
      </c>
      <c r="SF39" s="233" t="str">
        <f t="shared" si="90"/>
        <v/>
      </c>
      <c r="SG39" s="233" t="str">
        <f t="shared" si="91"/>
        <v/>
      </c>
      <c r="SH39" s="233" t="str">
        <f t="shared" si="92"/>
        <v/>
      </c>
      <c r="SI39" s="233" t="str">
        <f t="shared" si="93"/>
        <v/>
      </c>
      <c r="SJ39" s="233" t="str">
        <f t="shared" si="94"/>
        <v/>
      </c>
      <c r="SK39" s="233" t="str">
        <f t="shared" si="95"/>
        <v/>
      </c>
      <c r="SL39" s="233" t="str">
        <f t="shared" si="96"/>
        <v/>
      </c>
      <c r="SM39" s="254" t="str">
        <f t="shared" si="142"/>
        <v/>
      </c>
      <c r="SN39" s="255" t="str">
        <f t="shared" si="97"/>
        <v/>
      </c>
      <c r="SO39" s="234" t="str">
        <f t="shared" si="143"/>
        <v/>
      </c>
      <c r="SP39" s="234" t="str">
        <f t="shared" si="144"/>
        <v/>
      </c>
      <c r="SQ39" s="249" t="str">
        <f t="shared" si="145"/>
        <v/>
      </c>
      <c r="SR39" s="249" t="str">
        <f t="shared" si="146"/>
        <v/>
      </c>
      <c r="SS39" s="249" t="str">
        <f t="shared" si="147"/>
        <v/>
      </c>
      <c r="ST39" s="249" t="str">
        <f t="shared" si="148"/>
        <v/>
      </c>
      <c r="SU39" s="249" t="str">
        <f t="shared" si="149"/>
        <v/>
      </c>
      <c r="SV39" s="249" t="str">
        <f t="shared" si="150"/>
        <v/>
      </c>
      <c r="SW39" s="249" t="str">
        <f t="shared" si="151"/>
        <v/>
      </c>
      <c r="SX39" s="249" t="str">
        <f t="shared" si="152"/>
        <v/>
      </c>
      <c r="SY39" s="249" t="str">
        <f t="shared" si="153"/>
        <v/>
      </c>
      <c r="SZ39" s="249" t="str">
        <f t="shared" si="154"/>
        <v/>
      </c>
      <c r="TA39" s="249" t="str">
        <f t="shared" si="155"/>
        <v/>
      </c>
      <c r="TB39" s="249" t="str">
        <f t="shared" si="156"/>
        <v/>
      </c>
      <c r="TC39" s="249" t="str">
        <f t="shared" si="98"/>
        <v/>
      </c>
      <c r="TD39" s="249" t="str">
        <f t="shared" si="157"/>
        <v/>
      </c>
      <c r="TE39" s="249" t="str">
        <f t="shared" si="158"/>
        <v/>
      </c>
      <c r="TF39" s="249" t="str">
        <f t="shared" si="159"/>
        <v/>
      </c>
      <c r="TG39" s="249" t="str">
        <f t="shared" si="160"/>
        <v/>
      </c>
      <c r="TQ39" s="426"/>
      <c r="TR39" s="427"/>
      <c r="TS39" s="850"/>
      <c r="TT39" s="850"/>
      <c r="TU39" s="850"/>
      <c r="TV39" s="850"/>
      <c r="TW39" s="850"/>
      <c r="TX39" s="850"/>
      <c r="TY39" s="850"/>
      <c r="TZ39" s="850"/>
      <c r="UA39" s="850"/>
      <c r="UC39" s="428"/>
      <c r="UD39" s="429"/>
      <c r="UE39" s="850"/>
      <c r="UF39" s="850"/>
      <c r="UG39" s="850"/>
      <c r="UH39" s="850"/>
      <c r="UI39" s="850"/>
      <c r="UJ39" s="850"/>
      <c r="UK39" s="850"/>
      <c r="UL39" s="850"/>
      <c r="UM39" s="850"/>
      <c r="UN39" s="850"/>
      <c r="UO39" s="850"/>
      <c r="UP39" s="850"/>
      <c r="UQ39" s="850"/>
      <c r="UR39" s="850"/>
      <c r="US39" s="850"/>
      <c r="UT39" s="850"/>
      <c r="UU39" s="850"/>
      <c r="UV39" s="850"/>
      <c r="UW39" s="850"/>
      <c r="UX39" s="850"/>
      <c r="WC39" s="270"/>
      <c r="WD39" s="270"/>
      <c r="WE39" s="270"/>
      <c r="WF39" s="270"/>
      <c r="WG39" s="270"/>
      <c r="WH39" s="270"/>
      <c r="WI39" s="270"/>
      <c r="WJ39" s="270"/>
      <c r="WK39" s="270"/>
      <c r="WL39" s="270"/>
      <c r="WM39" s="270"/>
      <c r="WN39" s="270"/>
      <c r="WO39" s="270"/>
      <c r="WP39" s="270"/>
      <c r="WQ39" s="270"/>
      <c r="WR39" s="270"/>
      <c r="WS39" s="270"/>
    </row>
    <row r="40" spans="28:617" x14ac:dyDescent="0.25">
      <c r="AB40" s="287">
        <v>10</v>
      </c>
      <c r="AC40" s="637"/>
      <c r="AD40" s="637"/>
      <c r="AE40" s="637"/>
      <c r="AF40" s="637"/>
      <c r="AG40" s="637"/>
      <c r="AH40" s="637"/>
      <c r="AI40" s="637"/>
      <c r="AJ40" s="637"/>
      <c r="AK40" s="638"/>
      <c r="AL40" s="638"/>
      <c r="AM40" s="637"/>
      <c r="AN40" s="637"/>
      <c r="AO40" s="637"/>
      <c r="AP40" s="637"/>
      <c r="AQ40" s="639"/>
      <c r="AR40" s="639"/>
      <c r="AS40" s="638"/>
      <c r="AT40" s="638"/>
      <c r="AU40" s="637"/>
      <c r="AV40" s="637"/>
      <c r="AW40" s="637"/>
      <c r="AX40" s="637"/>
      <c r="AY40" s="637"/>
      <c r="AZ40" s="637"/>
      <c r="BA40" s="637"/>
      <c r="BB40" s="637"/>
      <c r="BC40" s="637"/>
      <c r="BD40" s="637"/>
      <c r="BE40" s="637"/>
      <c r="BF40" s="639"/>
      <c r="BG40" s="637"/>
      <c r="BH40" s="639"/>
      <c r="BI40" s="637"/>
      <c r="BJ40" s="637"/>
      <c r="BK40" s="637"/>
      <c r="BL40" s="637"/>
      <c r="BM40" s="637"/>
      <c r="BN40" s="637"/>
      <c r="BO40" s="637"/>
      <c r="BP40" s="637"/>
      <c r="BQ40" s="637"/>
      <c r="BR40" s="637"/>
      <c r="BS40" s="637"/>
      <c r="BT40" s="637"/>
      <c r="BU40" s="637"/>
      <c r="BV40" s="637"/>
      <c r="BW40" s="638"/>
      <c r="BX40" s="638"/>
      <c r="BY40" s="637"/>
      <c r="BZ40" s="637"/>
      <c r="CA40" s="637"/>
      <c r="CB40" s="637"/>
      <c r="CC40" s="637"/>
      <c r="CD40" s="637"/>
      <c r="CE40" s="637"/>
      <c r="CF40" s="637"/>
      <c r="CG40" s="637"/>
      <c r="CH40" s="637"/>
      <c r="CI40" s="637"/>
      <c r="CJ40" s="637"/>
      <c r="CK40" s="637"/>
      <c r="CL40" s="637"/>
      <c r="CM40" s="637"/>
      <c r="CN40" s="637"/>
      <c r="CO40" s="637"/>
      <c r="CP40" s="637"/>
      <c r="CQ40" s="637"/>
      <c r="CR40" s="637"/>
      <c r="CS40" s="637"/>
      <c r="CT40" s="637"/>
      <c r="CU40" s="637"/>
      <c r="CV40" s="637"/>
      <c r="CW40" s="637"/>
      <c r="CX40" s="637"/>
      <c r="CY40" s="637"/>
      <c r="CZ40" s="637"/>
      <c r="DA40" s="637"/>
      <c r="DB40" s="637"/>
      <c r="DC40" s="637"/>
      <c r="DD40" s="637"/>
      <c r="DE40" s="637"/>
      <c r="DF40" s="640"/>
      <c r="DG40" s="637"/>
      <c r="DH40" s="637"/>
      <c r="DI40" s="637"/>
      <c r="DJ40" s="637"/>
      <c r="DK40" s="637"/>
      <c r="DL40" s="637"/>
      <c r="DM40" s="637"/>
      <c r="DN40" s="637"/>
      <c r="DO40" s="639"/>
      <c r="DP40" s="639"/>
      <c r="DQ40" s="639"/>
      <c r="DR40" s="639"/>
      <c r="DS40" s="639"/>
      <c r="DT40" s="639"/>
      <c r="DU40" s="639"/>
      <c r="DV40" s="639"/>
      <c r="DW40" s="639"/>
      <c r="DX40" s="639"/>
      <c r="DY40" s="639"/>
      <c r="DZ40" s="639"/>
      <c r="EA40" s="639"/>
      <c r="EB40" s="637"/>
      <c r="EC40" s="639"/>
      <c r="ED40" s="639"/>
      <c r="EE40" s="639"/>
      <c r="EF40" s="639"/>
      <c r="EG40" s="639"/>
      <c r="EH40" s="639"/>
      <c r="EI40" s="639"/>
      <c r="EJ40" s="639"/>
      <c r="EK40" s="639"/>
      <c r="EL40" s="639"/>
      <c r="EM40" s="639"/>
      <c r="EN40" s="639"/>
      <c r="EO40" s="639"/>
      <c r="EP40" s="639"/>
      <c r="EQ40" s="639"/>
      <c r="ER40" s="639"/>
      <c r="ES40" s="637"/>
      <c r="ET40" s="639"/>
      <c r="EU40" s="639"/>
      <c r="EV40" s="639"/>
      <c r="EW40" s="639"/>
      <c r="EX40" s="639"/>
      <c r="EY40" s="639"/>
      <c r="EZ40" s="639"/>
      <c r="FA40" s="639"/>
      <c r="FB40" s="639"/>
      <c r="FC40" s="639"/>
      <c r="FD40" s="639"/>
      <c r="FE40" s="639"/>
      <c r="FF40" s="639"/>
      <c r="FG40" s="639"/>
      <c r="FH40" s="639"/>
      <c r="FI40" s="639"/>
      <c r="FJ40" s="639"/>
      <c r="FK40" s="639"/>
      <c r="FL40" s="639"/>
      <c r="FM40" s="639"/>
      <c r="FN40" s="639"/>
      <c r="FO40" s="637"/>
      <c r="FP40" s="637"/>
      <c r="FQ40" s="639"/>
      <c r="FR40" s="639"/>
      <c r="FS40" s="639"/>
      <c r="FT40" s="639"/>
      <c r="FU40" s="639"/>
      <c r="FV40" s="639"/>
      <c r="FW40" s="639"/>
      <c r="FX40" s="639"/>
      <c r="FY40" s="639"/>
      <c r="FZ40" s="639"/>
      <c r="GA40" s="639"/>
      <c r="GB40" s="639"/>
      <c r="GC40" s="639"/>
      <c r="GD40" s="639"/>
      <c r="GE40" s="639"/>
      <c r="GF40" s="639"/>
      <c r="GG40" s="639"/>
      <c r="GH40" s="639"/>
      <c r="GI40" s="639"/>
      <c r="GJ40" s="639"/>
      <c r="GK40" s="639"/>
      <c r="GL40" s="639"/>
      <c r="GM40" s="639"/>
      <c r="GN40" s="639"/>
      <c r="GO40" s="639"/>
      <c r="GP40" s="639"/>
      <c r="GQ40" s="639"/>
      <c r="GR40" s="639"/>
      <c r="GS40" s="639"/>
      <c r="GT40" s="639"/>
      <c r="GU40" s="639"/>
      <c r="GV40" s="639"/>
      <c r="GW40" s="639"/>
      <c r="GX40" s="639"/>
      <c r="GY40" s="639"/>
      <c r="GZ40" s="639"/>
      <c r="HA40" s="639"/>
      <c r="HB40" s="639"/>
      <c r="HC40" s="639"/>
      <c r="HD40" s="639"/>
      <c r="HE40" s="639"/>
      <c r="HF40" s="639"/>
      <c r="HG40" s="639"/>
      <c r="HH40" s="639"/>
      <c r="HI40" s="639"/>
      <c r="HJ40" s="639"/>
      <c r="HK40" s="639"/>
      <c r="HL40" s="639"/>
      <c r="HM40" s="639"/>
      <c r="HN40" s="639"/>
      <c r="HO40" s="639"/>
      <c r="HP40" s="639"/>
      <c r="HQ40" s="639"/>
      <c r="HR40" s="639"/>
      <c r="HS40" s="639"/>
      <c r="HT40" s="639"/>
      <c r="HU40" s="639"/>
      <c r="HV40" s="639"/>
      <c r="HW40" s="639"/>
      <c r="HX40" s="639"/>
      <c r="HY40" s="639"/>
      <c r="HZ40" s="639"/>
      <c r="IA40" s="639"/>
      <c r="IB40" s="639"/>
      <c r="IC40" s="639"/>
      <c r="ID40" s="639"/>
      <c r="IE40" s="639"/>
      <c r="IF40" s="639"/>
      <c r="IG40" s="639"/>
      <c r="IH40" s="639"/>
      <c r="II40" s="639"/>
      <c r="IJ40" s="639"/>
      <c r="IK40" s="639"/>
      <c r="IL40" s="639"/>
      <c r="IM40" s="639"/>
      <c r="IN40" s="639"/>
      <c r="IO40" s="639"/>
      <c r="IP40" s="639"/>
      <c r="IQ40" s="639"/>
      <c r="IR40" s="639"/>
      <c r="IS40" s="639"/>
      <c r="IT40" s="639"/>
      <c r="IU40" s="639"/>
      <c r="IV40" s="639"/>
      <c r="IW40" s="639"/>
      <c r="IX40" s="639"/>
      <c r="IY40" s="639"/>
      <c r="IZ40" s="639"/>
      <c r="JA40" s="639"/>
      <c r="JB40" s="639"/>
      <c r="JC40" s="639"/>
      <c r="JD40" s="639"/>
      <c r="JE40" s="639"/>
      <c r="JF40" s="639"/>
      <c r="JG40" s="639"/>
      <c r="JH40" s="639"/>
      <c r="JI40" s="639"/>
      <c r="JJ40" s="639"/>
      <c r="JK40" s="639"/>
      <c r="JL40" s="639"/>
      <c r="JM40" s="639"/>
      <c r="JN40" s="639"/>
      <c r="JO40" s="639"/>
      <c r="JP40" s="639"/>
      <c r="JQ40" s="639"/>
      <c r="JR40" s="639"/>
      <c r="JS40" s="639"/>
      <c r="JT40" s="639"/>
      <c r="JU40" s="639"/>
      <c r="JV40" s="639"/>
      <c r="JW40" s="639"/>
      <c r="JX40" s="639"/>
      <c r="JY40" s="639"/>
      <c r="JZ40" s="639"/>
      <c r="KA40" s="639"/>
      <c r="KB40" s="639"/>
      <c r="KC40" s="639"/>
      <c r="KD40" s="639"/>
      <c r="KE40" s="639"/>
      <c r="KF40" s="639"/>
      <c r="KG40" s="639"/>
      <c r="KH40" s="639"/>
      <c r="KI40" s="639"/>
      <c r="KJ40" s="639"/>
      <c r="KK40" s="639"/>
      <c r="KL40" s="639"/>
      <c r="KM40" s="639"/>
      <c r="KN40" s="639"/>
      <c r="KO40" s="639"/>
      <c r="KP40" s="639"/>
      <c r="KQ40" s="639"/>
      <c r="KR40" s="639"/>
      <c r="KS40" s="639"/>
      <c r="KT40" s="639"/>
      <c r="KU40" s="639"/>
      <c r="KV40" s="639"/>
      <c r="KW40" s="639"/>
      <c r="KX40" s="639"/>
      <c r="KY40" s="639"/>
      <c r="KZ40" s="639"/>
      <c r="LA40" s="639"/>
      <c r="LB40" s="639"/>
      <c r="LC40" s="639"/>
      <c r="LD40" s="639"/>
      <c r="LE40" s="639"/>
      <c r="LF40" s="639"/>
      <c r="LG40" s="639"/>
      <c r="LH40" s="639"/>
      <c r="LI40" s="639"/>
      <c r="LJ40" s="639"/>
      <c r="LK40" s="639"/>
      <c r="LL40" s="639"/>
      <c r="LM40" s="639"/>
      <c r="LN40" s="639"/>
      <c r="LO40" s="639"/>
      <c r="LP40" s="639"/>
      <c r="LQ40" s="639"/>
      <c r="LR40" s="639"/>
      <c r="LS40" s="639"/>
      <c r="LT40" s="639"/>
      <c r="LU40" s="639"/>
      <c r="LV40" s="639"/>
      <c r="MC40" s="284" t="s">
        <v>1193</v>
      </c>
      <c r="MD40" s="417"/>
      <c r="ME40" s="418"/>
      <c r="MF40" s="418"/>
      <c r="MG40" s="418"/>
      <c r="MH40" s="418"/>
      <c r="MI40" s="418"/>
      <c r="MJ40" s="418"/>
      <c r="MK40" s="418"/>
      <c r="ML40" s="418"/>
      <c r="MM40" s="418"/>
      <c r="MN40" s="418"/>
      <c r="MO40" s="418"/>
      <c r="MP40" s="418"/>
      <c r="MQ40" s="418"/>
      <c r="MR40" s="418"/>
      <c r="MS40" s="418"/>
      <c r="MT40" s="419"/>
      <c r="NA40" s="470" t="str">
        <f t="shared" si="99"/>
        <v/>
      </c>
      <c r="NB40" s="470" t="str">
        <f t="shared" si="100"/>
        <v/>
      </c>
      <c r="NC40" s="232" t="str">
        <f t="shared" si="101"/>
        <v/>
      </c>
      <c r="ND40" s="233" t="str">
        <f t="shared" si="102"/>
        <v/>
      </c>
      <c r="NE40" s="234" t="str">
        <f t="shared" si="14"/>
        <v/>
      </c>
      <c r="NF40" s="233" t="str">
        <f t="shared" si="15"/>
        <v/>
      </c>
      <c r="NG40" s="235"/>
      <c r="NH40" s="236" t="str">
        <f t="shared" si="103"/>
        <v/>
      </c>
      <c r="NI40" s="233" t="str">
        <f t="shared" si="16"/>
        <v/>
      </c>
      <c r="NJ40" s="237" t="str">
        <f t="shared" si="104"/>
        <v/>
      </c>
      <c r="NK40" s="238" t="str">
        <f t="shared" si="105"/>
        <v/>
      </c>
      <c r="NL40" s="239" t="str">
        <f t="shared" si="17"/>
        <v/>
      </c>
      <c r="NM40" s="240" t="str">
        <f t="shared" si="106"/>
        <v/>
      </c>
      <c r="NN40" s="240" t="str">
        <f t="shared" si="18"/>
        <v/>
      </c>
      <c r="NO40" s="241" t="str">
        <f t="shared" si="19"/>
        <v/>
      </c>
      <c r="NP40" s="242" t="str">
        <f t="shared" si="107"/>
        <v/>
      </c>
      <c r="NQ40" s="241" t="str">
        <f t="shared" si="108"/>
        <v/>
      </c>
      <c r="NR40" s="241" t="str">
        <f t="shared" si="109"/>
        <v/>
      </c>
      <c r="NS40" s="241" t="str">
        <f t="shared" si="20"/>
        <v/>
      </c>
      <c r="NT40" s="241" t="str">
        <f t="shared" si="21"/>
        <v/>
      </c>
      <c r="NU40" s="241" t="str">
        <f t="shared" si="22"/>
        <v/>
      </c>
      <c r="NV40" s="241" t="str">
        <f t="shared" si="110"/>
        <v/>
      </c>
      <c r="NW40" s="241" t="str">
        <f t="shared" si="23"/>
        <v/>
      </c>
      <c r="NX40" s="241" t="str">
        <f t="shared" si="24"/>
        <v/>
      </c>
      <c r="NY40" s="241" t="str">
        <f t="shared" si="25"/>
        <v/>
      </c>
      <c r="NZ40" s="241" t="str">
        <f t="shared" si="26"/>
        <v/>
      </c>
      <c r="OA40" s="241" t="str">
        <f t="shared" si="27"/>
        <v/>
      </c>
      <c r="OB40" s="241" t="str">
        <f t="shared" si="28"/>
        <v/>
      </c>
      <c r="OC40" s="241" t="str">
        <f t="shared" si="29"/>
        <v/>
      </c>
      <c r="OD40" s="241" t="str">
        <f t="shared" si="30"/>
        <v/>
      </c>
      <c r="OE40" s="241" t="str">
        <f t="shared" si="31"/>
        <v/>
      </c>
      <c r="OF40" s="241" t="str">
        <f t="shared" si="32"/>
        <v/>
      </c>
      <c r="OG40" s="241" t="str">
        <f t="shared" si="33"/>
        <v/>
      </c>
      <c r="OH40" s="241" t="str">
        <f t="shared" si="34"/>
        <v/>
      </c>
      <c r="OI40" s="241" t="str">
        <f t="shared" si="111"/>
        <v/>
      </c>
      <c r="OJ40" s="244" t="str">
        <f t="shared" si="112"/>
        <v/>
      </c>
      <c r="OK40" s="244" t="str">
        <f t="shared" si="113"/>
        <v/>
      </c>
      <c r="OL40" s="244" t="str">
        <f t="shared" si="114"/>
        <v/>
      </c>
      <c r="OM40" s="244" t="str">
        <f t="shared" si="115"/>
        <v/>
      </c>
      <c r="ON40" s="243" t="str">
        <f t="shared" si="35"/>
        <v/>
      </c>
      <c r="OO40" s="235"/>
      <c r="OP40" s="235"/>
      <c r="OQ40" s="244" t="str">
        <f t="shared" si="116"/>
        <v/>
      </c>
      <c r="OR40" s="244" t="str">
        <f t="shared" si="117"/>
        <v/>
      </c>
      <c r="OS40" s="250" t="str">
        <f t="shared" si="36"/>
        <v/>
      </c>
      <c r="OT40" s="250" t="str">
        <f t="shared" si="37"/>
        <v/>
      </c>
      <c r="OU40" s="245" t="str">
        <f t="shared" si="38"/>
        <v/>
      </c>
      <c r="OV40" s="245" t="str">
        <f t="shared" si="39"/>
        <v/>
      </c>
      <c r="OW40" s="234" t="str">
        <f t="shared" si="118"/>
        <v/>
      </c>
      <c r="OX40" s="246" t="str">
        <f t="shared" si="40"/>
        <v/>
      </c>
      <c r="OY40" s="233" t="str">
        <f t="shared" si="119"/>
        <v/>
      </c>
      <c r="OZ40" s="233" t="str">
        <f t="shared" si="41"/>
        <v/>
      </c>
      <c r="PA40" s="234" t="str">
        <f t="shared" si="120"/>
        <v/>
      </c>
      <c r="PB40" s="234" t="str">
        <f>IF(OR($CQ40="",$OZ40=""),"",IF($OZ40=0,0,
GuardLimitUpper(
  ($OZ40-$CQ40)/$OZ40,
  data_GuardLimitFlag,
  1)
))</f>
        <v/>
      </c>
      <c r="PC40" s="234" t="str">
        <f t="shared" si="42"/>
        <v/>
      </c>
      <c r="PD40" s="234" t="str">
        <f t="shared" si="43"/>
        <v/>
      </c>
      <c r="PE40" s="233" t="str">
        <f t="shared" si="121"/>
        <v/>
      </c>
      <c r="PF40" s="234" t="str">
        <f t="shared" si="122"/>
        <v/>
      </c>
      <c r="PG40" s="234" t="str">
        <f t="shared" si="44"/>
        <v/>
      </c>
      <c r="PH40" s="234" t="str">
        <f t="shared" si="45"/>
        <v/>
      </c>
      <c r="PI40" s="234" t="str">
        <f t="shared" si="46"/>
        <v/>
      </c>
      <c r="PJ40" s="247" t="str">
        <f t="shared" si="47"/>
        <v/>
      </c>
      <c r="PK40" s="247" t="str">
        <f t="shared" si="48"/>
        <v/>
      </c>
      <c r="PL40" s="248" t="str">
        <f t="shared" si="123"/>
        <v/>
      </c>
      <c r="PM40" s="248" t="str">
        <f t="shared" si="49"/>
        <v/>
      </c>
      <c r="PN40" s="248" t="str">
        <f t="shared" si="124"/>
        <v/>
      </c>
      <c r="PO40" s="248" t="str">
        <f t="shared" si="50"/>
        <v/>
      </c>
      <c r="PP40" s="566" t="str">
        <f t="shared" si="51"/>
        <v/>
      </c>
      <c r="PQ40" s="581" t="str">
        <f t="shared" si="125"/>
        <v/>
      </c>
      <c r="PR40" s="566" t="str">
        <f t="shared" si="52"/>
        <v/>
      </c>
      <c r="PS40" s="248" t="str">
        <f t="shared" si="53"/>
        <v/>
      </c>
      <c r="PT40" s="248" t="str">
        <f t="shared" si="126"/>
        <v/>
      </c>
      <c r="PU40" s="248" t="str">
        <f t="shared" si="54"/>
        <v/>
      </c>
      <c r="PV40" s="248" t="str">
        <f t="shared" si="127"/>
        <v/>
      </c>
      <c r="PW40" s="566" t="str">
        <f t="shared" si="55"/>
        <v/>
      </c>
      <c r="PX40" s="566" t="str">
        <f t="shared" si="161"/>
        <v/>
      </c>
      <c r="PY40" s="566" t="str">
        <f t="shared" si="56"/>
        <v/>
      </c>
      <c r="PZ40" s="248" t="str">
        <f t="shared" si="57"/>
        <v/>
      </c>
      <c r="QA40" s="248" t="str">
        <f t="shared" si="58"/>
        <v/>
      </c>
      <c r="QB40" s="248" t="str">
        <f t="shared" si="59"/>
        <v/>
      </c>
      <c r="QC40" s="248" t="str">
        <f t="shared" si="60"/>
        <v/>
      </c>
      <c r="QD40" s="248" t="str">
        <f t="shared" si="128"/>
        <v/>
      </c>
      <c r="QE40" s="248" t="str">
        <f t="shared" si="129"/>
        <v/>
      </c>
      <c r="QF40" s="248" t="str">
        <f t="shared" si="130"/>
        <v/>
      </c>
      <c r="QG40" s="249" t="str">
        <f t="shared" si="61"/>
        <v/>
      </c>
      <c r="QH40" s="249" t="str">
        <f t="shared" si="62"/>
        <v/>
      </c>
      <c r="QI40" s="249" t="str">
        <f t="shared" si="63"/>
        <v/>
      </c>
      <c r="QJ40" s="249" t="str">
        <f t="shared" si="64"/>
        <v/>
      </c>
      <c r="QK40" s="249" t="str">
        <f t="shared" si="65"/>
        <v/>
      </c>
      <c r="QL40" s="249" t="str">
        <f t="shared" si="131"/>
        <v/>
      </c>
      <c r="QM40" s="249" t="str">
        <f>IF(OR($O$8="Lv2",$O$8="Lv3",$O$8="Lv4"),IF(OR($AS40="",COUNT($PL40:$QL40)=0),"",
GuardLimitLower(
  $AS40-SUM($PL40:$QL40),
  data_GuardLimitFlag,
  0)
),"")</f>
        <v/>
      </c>
      <c r="QN40" s="249" t="str">
        <f t="shared" si="132"/>
        <v/>
      </c>
      <c r="QO40" s="251" t="str">
        <f t="shared" si="133"/>
        <v/>
      </c>
      <c r="QP40" s="251" t="str">
        <f t="shared" si="134"/>
        <v/>
      </c>
      <c r="QQ40" s="251" t="str">
        <f t="shared" si="135"/>
        <v/>
      </c>
      <c r="QR40" s="251" t="str">
        <f t="shared" si="66"/>
        <v/>
      </c>
      <c r="QS40" s="234" t="str">
        <f t="shared" si="67"/>
        <v/>
      </c>
      <c r="QT40" s="234" t="str">
        <f t="shared" si="68"/>
        <v/>
      </c>
      <c r="QU40" s="234" t="str">
        <f t="shared" si="69"/>
        <v/>
      </c>
      <c r="QV40" s="233" t="str">
        <f t="shared" si="70"/>
        <v/>
      </c>
      <c r="QW40" s="233" t="str">
        <f t="shared" si="71"/>
        <v/>
      </c>
      <c r="QX40" s="233" t="str">
        <f t="shared" si="72"/>
        <v/>
      </c>
      <c r="QY40" s="233" t="str">
        <f t="shared" si="73"/>
        <v/>
      </c>
      <c r="QZ40" s="233" t="str">
        <f t="shared" si="74"/>
        <v/>
      </c>
      <c r="RA40" s="234" t="str">
        <f t="shared" si="136"/>
        <v/>
      </c>
      <c r="RB40" s="234" t="str">
        <f t="shared" si="75"/>
        <v/>
      </c>
      <c r="RC40" s="234" t="str">
        <f t="shared" si="76"/>
        <v/>
      </c>
      <c r="RD40" s="234" t="str">
        <f t="shared" si="77"/>
        <v/>
      </c>
      <c r="RE40" s="234" t="str">
        <f t="shared" si="78"/>
        <v/>
      </c>
      <c r="RF40" s="234" t="str">
        <f t="shared" si="79"/>
        <v/>
      </c>
      <c r="RG40" s="234" t="str">
        <f t="shared" si="80"/>
        <v/>
      </c>
      <c r="RH40" s="234" t="str">
        <f t="shared" si="81"/>
        <v/>
      </c>
      <c r="RI40" s="234" t="str">
        <f t="shared" si="82"/>
        <v/>
      </c>
      <c r="RJ40" s="150"/>
      <c r="RK40" s="150"/>
      <c r="RL40" s="150"/>
      <c r="RM40" s="150"/>
      <c r="RN40" s="150"/>
      <c r="RO40" s="150"/>
      <c r="RP40" s="150"/>
      <c r="RQ40" s="150"/>
      <c r="RR40" s="249" t="str">
        <f t="shared" si="83"/>
        <v/>
      </c>
      <c r="RS40" s="253"/>
      <c r="RT40" s="253"/>
      <c r="RU40" s="233" t="str">
        <f t="shared" si="137"/>
        <v/>
      </c>
      <c r="RV40" s="233" t="str">
        <f t="shared" si="138"/>
        <v/>
      </c>
      <c r="RW40" s="233" t="str">
        <f t="shared" si="139"/>
        <v/>
      </c>
      <c r="RX40" s="233" t="str">
        <f t="shared" si="140"/>
        <v/>
      </c>
      <c r="RY40" s="233" t="str">
        <f t="shared" si="141"/>
        <v/>
      </c>
      <c r="RZ40" s="233" t="str">
        <f t="shared" si="84"/>
        <v/>
      </c>
      <c r="SA40" s="233" t="str">
        <f t="shared" si="85"/>
        <v/>
      </c>
      <c r="SB40" s="233" t="str">
        <f t="shared" si="86"/>
        <v/>
      </c>
      <c r="SC40" s="233" t="str">
        <f t="shared" si="87"/>
        <v/>
      </c>
      <c r="SD40" s="233" t="str">
        <f t="shared" si="88"/>
        <v/>
      </c>
      <c r="SE40" s="233" t="str">
        <f t="shared" si="89"/>
        <v/>
      </c>
      <c r="SF40" s="233" t="str">
        <f t="shared" si="90"/>
        <v/>
      </c>
      <c r="SG40" s="233" t="str">
        <f t="shared" si="91"/>
        <v/>
      </c>
      <c r="SH40" s="233" t="str">
        <f t="shared" si="92"/>
        <v/>
      </c>
      <c r="SI40" s="233" t="str">
        <f t="shared" si="93"/>
        <v/>
      </c>
      <c r="SJ40" s="233" t="str">
        <f t="shared" si="94"/>
        <v/>
      </c>
      <c r="SK40" s="233" t="str">
        <f t="shared" si="95"/>
        <v/>
      </c>
      <c r="SL40" s="233" t="str">
        <f t="shared" si="96"/>
        <v/>
      </c>
      <c r="SM40" s="254" t="str">
        <f t="shared" si="142"/>
        <v/>
      </c>
      <c r="SN40" s="255" t="str">
        <f t="shared" si="97"/>
        <v/>
      </c>
      <c r="SO40" s="234" t="str">
        <f t="shared" si="143"/>
        <v/>
      </c>
      <c r="SP40" s="234" t="str">
        <f t="shared" si="144"/>
        <v/>
      </c>
      <c r="SQ40" s="249" t="str">
        <f t="shared" si="145"/>
        <v/>
      </c>
      <c r="SR40" s="249" t="str">
        <f t="shared" si="146"/>
        <v/>
      </c>
      <c r="SS40" s="249" t="str">
        <f t="shared" si="147"/>
        <v/>
      </c>
      <c r="ST40" s="249" t="str">
        <f t="shared" si="148"/>
        <v/>
      </c>
      <c r="SU40" s="249" t="str">
        <f t="shared" si="149"/>
        <v/>
      </c>
      <c r="SV40" s="249" t="str">
        <f t="shared" si="150"/>
        <v/>
      </c>
      <c r="SW40" s="249" t="str">
        <f t="shared" si="151"/>
        <v/>
      </c>
      <c r="SX40" s="249" t="str">
        <f t="shared" si="152"/>
        <v/>
      </c>
      <c r="SY40" s="249" t="str">
        <f t="shared" si="153"/>
        <v/>
      </c>
      <c r="SZ40" s="249" t="str">
        <f t="shared" si="154"/>
        <v/>
      </c>
      <c r="TA40" s="249" t="str">
        <f t="shared" si="155"/>
        <v/>
      </c>
      <c r="TB40" s="249" t="str">
        <f t="shared" si="156"/>
        <v/>
      </c>
      <c r="TC40" s="249" t="str">
        <f t="shared" si="98"/>
        <v/>
      </c>
      <c r="TD40" s="249" t="str">
        <f t="shared" si="157"/>
        <v/>
      </c>
      <c r="TE40" s="249" t="str">
        <f t="shared" si="158"/>
        <v/>
      </c>
      <c r="TF40" s="249" t="str">
        <f t="shared" si="159"/>
        <v/>
      </c>
      <c r="TG40" s="249" t="str">
        <f t="shared" si="160"/>
        <v/>
      </c>
      <c r="TQ40" s="426"/>
      <c r="TR40" s="427"/>
      <c r="TS40" s="430" t="s">
        <v>649</v>
      </c>
      <c r="TT40" s="431" t="s">
        <v>650</v>
      </c>
      <c r="TU40" s="432" t="s">
        <v>653</v>
      </c>
      <c r="TV40" s="433" t="s">
        <v>654</v>
      </c>
      <c r="TW40" s="434" t="s">
        <v>1735</v>
      </c>
      <c r="TX40" s="435" t="s">
        <v>658</v>
      </c>
      <c r="TY40" s="436" t="s">
        <v>1733</v>
      </c>
      <c r="TZ40" s="437" t="s">
        <v>1734</v>
      </c>
      <c r="UA40" s="580" t="s">
        <v>1713</v>
      </c>
      <c r="UC40" s="428"/>
      <c r="UD40" s="429"/>
      <c r="UE40" s="438" t="s">
        <v>649</v>
      </c>
      <c r="UF40" s="597" t="s">
        <v>1731</v>
      </c>
      <c r="UG40" s="439" t="s">
        <v>1742</v>
      </c>
      <c r="UH40" s="368" t="s">
        <v>648</v>
      </c>
      <c r="UI40" s="440" t="s">
        <v>1738</v>
      </c>
      <c r="UJ40" s="441" t="s">
        <v>651</v>
      </c>
      <c r="UK40" s="442" t="s">
        <v>650</v>
      </c>
      <c r="UL40" s="443" t="s">
        <v>652</v>
      </c>
      <c r="UM40" s="444" t="s">
        <v>1737</v>
      </c>
      <c r="UN40" s="445" t="s">
        <v>653</v>
      </c>
      <c r="UO40" s="446" t="s">
        <v>1736</v>
      </c>
      <c r="UP40" s="447" t="s">
        <v>654</v>
      </c>
      <c r="UQ40" s="434" t="s">
        <v>1735</v>
      </c>
      <c r="UR40" s="435" t="s">
        <v>658</v>
      </c>
      <c r="US40" s="448" t="s">
        <v>1733</v>
      </c>
      <c r="UT40" s="437" t="s">
        <v>1734</v>
      </c>
      <c r="UU40" s="449" t="s">
        <v>1739</v>
      </c>
      <c r="UV40" s="450" t="s">
        <v>1740</v>
      </c>
      <c r="UW40" s="451" t="s">
        <v>1741</v>
      </c>
      <c r="UX40" s="580" t="s">
        <v>1713</v>
      </c>
      <c r="WC40" s="270"/>
      <c r="WD40" s="270"/>
      <c r="WE40" s="270"/>
      <c r="WF40" s="270"/>
      <c r="WG40" s="270"/>
      <c r="WH40" s="270"/>
      <c r="WI40" s="270"/>
      <c r="WJ40" s="270"/>
      <c r="WK40" s="270"/>
      <c r="WL40" s="270"/>
      <c r="WM40" s="270"/>
      <c r="WN40" s="270"/>
      <c r="WO40" s="270"/>
      <c r="WP40" s="270"/>
      <c r="WQ40" s="270"/>
      <c r="WR40" s="270"/>
      <c r="WS40" s="270"/>
    </row>
    <row r="41" spans="28:617" x14ac:dyDescent="0.25">
      <c r="AB41" s="287">
        <v>11</v>
      </c>
      <c r="AC41" s="637"/>
      <c r="AD41" s="637"/>
      <c r="AE41" s="637"/>
      <c r="AF41" s="637"/>
      <c r="AG41" s="637"/>
      <c r="AH41" s="637"/>
      <c r="AI41" s="637"/>
      <c r="AJ41" s="637"/>
      <c r="AK41" s="638"/>
      <c r="AL41" s="638"/>
      <c r="AM41" s="637"/>
      <c r="AN41" s="637"/>
      <c r="AO41" s="637"/>
      <c r="AP41" s="637"/>
      <c r="AQ41" s="639"/>
      <c r="AR41" s="639"/>
      <c r="AS41" s="638"/>
      <c r="AT41" s="638"/>
      <c r="AU41" s="637"/>
      <c r="AV41" s="637"/>
      <c r="AW41" s="637"/>
      <c r="AX41" s="637"/>
      <c r="AY41" s="637"/>
      <c r="AZ41" s="637"/>
      <c r="BA41" s="637"/>
      <c r="BB41" s="637"/>
      <c r="BC41" s="637"/>
      <c r="BD41" s="637"/>
      <c r="BE41" s="637"/>
      <c r="BF41" s="639"/>
      <c r="BG41" s="637"/>
      <c r="BH41" s="639"/>
      <c r="BI41" s="637"/>
      <c r="BJ41" s="637"/>
      <c r="BK41" s="637"/>
      <c r="BL41" s="637"/>
      <c r="BM41" s="637"/>
      <c r="BN41" s="637"/>
      <c r="BO41" s="637"/>
      <c r="BP41" s="637"/>
      <c r="BQ41" s="637"/>
      <c r="BR41" s="637"/>
      <c r="BS41" s="637"/>
      <c r="BT41" s="637"/>
      <c r="BU41" s="637"/>
      <c r="BV41" s="637"/>
      <c r="BW41" s="638"/>
      <c r="BX41" s="638"/>
      <c r="BY41" s="637"/>
      <c r="BZ41" s="637"/>
      <c r="CA41" s="637"/>
      <c r="CB41" s="637"/>
      <c r="CC41" s="637"/>
      <c r="CD41" s="637"/>
      <c r="CE41" s="637"/>
      <c r="CF41" s="637"/>
      <c r="CG41" s="637"/>
      <c r="CH41" s="637"/>
      <c r="CI41" s="637"/>
      <c r="CJ41" s="637"/>
      <c r="CK41" s="637"/>
      <c r="CL41" s="637"/>
      <c r="CM41" s="637"/>
      <c r="CN41" s="637"/>
      <c r="CO41" s="637"/>
      <c r="CP41" s="637"/>
      <c r="CQ41" s="637"/>
      <c r="CR41" s="637"/>
      <c r="CS41" s="637"/>
      <c r="CT41" s="637"/>
      <c r="CU41" s="637"/>
      <c r="CV41" s="637"/>
      <c r="CW41" s="637"/>
      <c r="CX41" s="637"/>
      <c r="CY41" s="637"/>
      <c r="CZ41" s="637"/>
      <c r="DA41" s="637"/>
      <c r="DB41" s="637"/>
      <c r="DC41" s="637"/>
      <c r="DD41" s="637"/>
      <c r="DE41" s="637"/>
      <c r="DF41" s="640"/>
      <c r="DG41" s="637"/>
      <c r="DH41" s="637"/>
      <c r="DI41" s="637"/>
      <c r="DJ41" s="637"/>
      <c r="DK41" s="637"/>
      <c r="DL41" s="637"/>
      <c r="DM41" s="637"/>
      <c r="DN41" s="637"/>
      <c r="DO41" s="639"/>
      <c r="DP41" s="639"/>
      <c r="DQ41" s="639"/>
      <c r="DR41" s="639"/>
      <c r="DS41" s="639"/>
      <c r="DT41" s="639"/>
      <c r="DU41" s="639"/>
      <c r="DV41" s="639"/>
      <c r="DW41" s="639"/>
      <c r="DX41" s="639"/>
      <c r="DY41" s="639"/>
      <c r="DZ41" s="639"/>
      <c r="EA41" s="639"/>
      <c r="EB41" s="637"/>
      <c r="EC41" s="639"/>
      <c r="ED41" s="639"/>
      <c r="EE41" s="639"/>
      <c r="EF41" s="639"/>
      <c r="EG41" s="639"/>
      <c r="EH41" s="639"/>
      <c r="EI41" s="639"/>
      <c r="EJ41" s="639"/>
      <c r="EK41" s="639"/>
      <c r="EL41" s="639"/>
      <c r="EM41" s="639"/>
      <c r="EN41" s="639"/>
      <c r="EO41" s="639"/>
      <c r="EP41" s="639"/>
      <c r="EQ41" s="639"/>
      <c r="ER41" s="639"/>
      <c r="ES41" s="637"/>
      <c r="ET41" s="639"/>
      <c r="EU41" s="639"/>
      <c r="EV41" s="639"/>
      <c r="EW41" s="639"/>
      <c r="EX41" s="639"/>
      <c r="EY41" s="639"/>
      <c r="EZ41" s="639"/>
      <c r="FA41" s="639"/>
      <c r="FB41" s="639"/>
      <c r="FC41" s="639"/>
      <c r="FD41" s="639"/>
      <c r="FE41" s="639"/>
      <c r="FF41" s="639"/>
      <c r="FG41" s="639"/>
      <c r="FH41" s="639"/>
      <c r="FI41" s="639"/>
      <c r="FJ41" s="639"/>
      <c r="FK41" s="639"/>
      <c r="FL41" s="639"/>
      <c r="FM41" s="639"/>
      <c r="FN41" s="639"/>
      <c r="FO41" s="637"/>
      <c r="FP41" s="637"/>
      <c r="FQ41" s="639"/>
      <c r="FR41" s="639"/>
      <c r="FS41" s="639"/>
      <c r="FT41" s="639"/>
      <c r="FU41" s="639"/>
      <c r="FV41" s="639"/>
      <c r="FW41" s="639"/>
      <c r="FX41" s="639"/>
      <c r="FY41" s="639"/>
      <c r="FZ41" s="639"/>
      <c r="GA41" s="639"/>
      <c r="GB41" s="639"/>
      <c r="GC41" s="639"/>
      <c r="GD41" s="639"/>
      <c r="GE41" s="639"/>
      <c r="GF41" s="639"/>
      <c r="GG41" s="639"/>
      <c r="GH41" s="639"/>
      <c r="GI41" s="639"/>
      <c r="GJ41" s="639"/>
      <c r="GK41" s="639"/>
      <c r="GL41" s="639"/>
      <c r="GM41" s="639"/>
      <c r="GN41" s="639"/>
      <c r="GO41" s="639"/>
      <c r="GP41" s="639"/>
      <c r="GQ41" s="639"/>
      <c r="GR41" s="639"/>
      <c r="GS41" s="639"/>
      <c r="GT41" s="639"/>
      <c r="GU41" s="639"/>
      <c r="GV41" s="639"/>
      <c r="GW41" s="639"/>
      <c r="GX41" s="639"/>
      <c r="GY41" s="639"/>
      <c r="GZ41" s="639"/>
      <c r="HA41" s="639"/>
      <c r="HB41" s="639"/>
      <c r="HC41" s="639"/>
      <c r="HD41" s="639"/>
      <c r="HE41" s="639"/>
      <c r="HF41" s="639"/>
      <c r="HG41" s="639"/>
      <c r="HH41" s="639"/>
      <c r="HI41" s="639"/>
      <c r="HJ41" s="639"/>
      <c r="HK41" s="639"/>
      <c r="HL41" s="639"/>
      <c r="HM41" s="639"/>
      <c r="HN41" s="639"/>
      <c r="HO41" s="639"/>
      <c r="HP41" s="639"/>
      <c r="HQ41" s="639"/>
      <c r="HR41" s="639"/>
      <c r="HS41" s="639"/>
      <c r="HT41" s="639"/>
      <c r="HU41" s="639"/>
      <c r="HV41" s="639"/>
      <c r="HW41" s="639"/>
      <c r="HX41" s="639"/>
      <c r="HY41" s="639"/>
      <c r="HZ41" s="639"/>
      <c r="IA41" s="639"/>
      <c r="IB41" s="639"/>
      <c r="IC41" s="639"/>
      <c r="ID41" s="639"/>
      <c r="IE41" s="639"/>
      <c r="IF41" s="639"/>
      <c r="IG41" s="639"/>
      <c r="IH41" s="639"/>
      <c r="II41" s="639"/>
      <c r="IJ41" s="639"/>
      <c r="IK41" s="639"/>
      <c r="IL41" s="639"/>
      <c r="IM41" s="639"/>
      <c r="IN41" s="639"/>
      <c r="IO41" s="639"/>
      <c r="IP41" s="639"/>
      <c r="IQ41" s="639"/>
      <c r="IR41" s="639"/>
      <c r="IS41" s="639"/>
      <c r="IT41" s="639"/>
      <c r="IU41" s="639"/>
      <c r="IV41" s="639"/>
      <c r="IW41" s="639"/>
      <c r="IX41" s="639"/>
      <c r="IY41" s="639"/>
      <c r="IZ41" s="639"/>
      <c r="JA41" s="639"/>
      <c r="JB41" s="639"/>
      <c r="JC41" s="639"/>
      <c r="JD41" s="639"/>
      <c r="JE41" s="639"/>
      <c r="JF41" s="639"/>
      <c r="JG41" s="639"/>
      <c r="JH41" s="639"/>
      <c r="JI41" s="639"/>
      <c r="JJ41" s="639"/>
      <c r="JK41" s="639"/>
      <c r="JL41" s="639"/>
      <c r="JM41" s="639"/>
      <c r="JN41" s="639"/>
      <c r="JO41" s="639"/>
      <c r="JP41" s="639"/>
      <c r="JQ41" s="639"/>
      <c r="JR41" s="639"/>
      <c r="JS41" s="639"/>
      <c r="JT41" s="639"/>
      <c r="JU41" s="639"/>
      <c r="JV41" s="639"/>
      <c r="JW41" s="639"/>
      <c r="JX41" s="639"/>
      <c r="JY41" s="639"/>
      <c r="JZ41" s="639"/>
      <c r="KA41" s="639"/>
      <c r="KB41" s="639"/>
      <c r="KC41" s="639"/>
      <c r="KD41" s="639"/>
      <c r="KE41" s="639"/>
      <c r="KF41" s="639"/>
      <c r="KG41" s="639"/>
      <c r="KH41" s="639"/>
      <c r="KI41" s="639"/>
      <c r="KJ41" s="639"/>
      <c r="KK41" s="639"/>
      <c r="KL41" s="639"/>
      <c r="KM41" s="639"/>
      <c r="KN41" s="639"/>
      <c r="KO41" s="639"/>
      <c r="KP41" s="639"/>
      <c r="KQ41" s="639"/>
      <c r="KR41" s="639"/>
      <c r="KS41" s="639"/>
      <c r="KT41" s="639"/>
      <c r="KU41" s="639"/>
      <c r="KV41" s="639"/>
      <c r="KW41" s="639"/>
      <c r="KX41" s="639"/>
      <c r="KY41" s="639"/>
      <c r="KZ41" s="639"/>
      <c r="LA41" s="639"/>
      <c r="LB41" s="639"/>
      <c r="LC41" s="639"/>
      <c r="LD41" s="639"/>
      <c r="LE41" s="639"/>
      <c r="LF41" s="639"/>
      <c r="LG41" s="639"/>
      <c r="LH41" s="639"/>
      <c r="LI41" s="639"/>
      <c r="LJ41" s="639"/>
      <c r="LK41" s="639"/>
      <c r="LL41" s="639"/>
      <c r="LM41" s="639"/>
      <c r="LN41" s="639"/>
      <c r="LO41" s="639"/>
      <c r="LP41" s="639"/>
      <c r="LQ41" s="639"/>
      <c r="LR41" s="639"/>
      <c r="LS41" s="639"/>
      <c r="LT41" s="639"/>
      <c r="LU41" s="639"/>
      <c r="LV41" s="639"/>
      <c r="MC41" s="284" t="s">
        <v>1194</v>
      </c>
      <c r="MD41" s="417"/>
      <c r="ME41" s="418"/>
      <c r="MF41" s="418"/>
      <c r="MG41" s="418"/>
      <c r="MH41" s="418"/>
      <c r="MI41" s="418"/>
      <c r="MJ41" s="418"/>
      <c r="MK41" s="418"/>
      <c r="ML41" s="418"/>
      <c r="MM41" s="418"/>
      <c r="MN41" s="418"/>
      <c r="MO41" s="418"/>
      <c r="MP41" s="418"/>
      <c r="MQ41" s="418"/>
      <c r="MR41" s="418"/>
      <c r="MS41" s="418"/>
      <c r="MT41" s="419"/>
      <c r="NA41" s="470" t="str">
        <f t="shared" si="99"/>
        <v/>
      </c>
      <c r="NB41" s="470" t="str">
        <f t="shared" si="100"/>
        <v/>
      </c>
      <c r="NC41" s="232" t="str">
        <f t="shared" si="101"/>
        <v/>
      </c>
      <c r="ND41" s="233" t="str">
        <f>IF(OR($NI41="",$NC41=""),"",IF($NC41=0,0,$NI41/10^9/$NC41))</f>
        <v/>
      </c>
      <c r="NE41" s="234" t="str">
        <f t="shared" si="14"/>
        <v/>
      </c>
      <c r="NF41" s="233" t="str">
        <f t="shared" si="15"/>
        <v/>
      </c>
      <c r="NG41" s="235"/>
      <c r="NH41" s="236" t="str">
        <f t="shared" si="103"/>
        <v/>
      </c>
      <c r="NI41" s="233" t="str">
        <f t="shared" si="16"/>
        <v/>
      </c>
      <c r="NJ41" s="237" t="str">
        <f t="shared" si="104"/>
        <v/>
      </c>
      <c r="NK41" s="238" t="str">
        <f t="shared" si="105"/>
        <v/>
      </c>
      <c r="NL41" s="239" t="str">
        <f t="shared" si="17"/>
        <v/>
      </c>
      <c r="NM41" s="240" t="str">
        <f t="shared" si="106"/>
        <v/>
      </c>
      <c r="NN41" s="240" t="str">
        <f t="shared" si="18"/>
        <v/>
      </c>
      <c r="NO41" s="241" t="str">
        <f t="shared" si="19"/>
        <v/>
      </c>
      <c r="NP41" s="242" t="str">
        <f t="shared" si="107"/>
        <v/>
      </c>
      <c r="NQ41" s="241" t="str">
        <f t="shared" si="108"/>
        <v/>
      </c>
      <c r="NR41" s="241" t="str">
        <f t="shared" si="109"/>
        <v/>
      </c>
      <c r="NS41" s="241" t="str">
        <f t="shared" si="20"/>
        <v/>
      </c>
      <c r="NT41" s="241" t="str">
        <f t="shared" si="21"/>
        <v/>
      </c>
      <c r="NU41" s="241" t="str">
        <f t="shared" si="22"/>
        <v/>
      </c>
      <c r="NV41" s="241" t="str">
        <f t="shared" si="110"/>
        <v/>
      </c>
      <c r="NW41" s="241" t="str">
        <f t="shared" si="23"/>
        <v/>
      </c>
      <c r="NX41" s="241" t="str">
        <f t="shared" si="24"/>
        <v/>
      </c>
      <c r="NY41" s="241" t="str">
        <f t="shared" si="25"/>
        <v/>
      </c>
      <c r="NZ41" s="241" t="str">
        <f t="shared" si="26"/>
        <v/>
      </c>
      <c r="OA41" s="241" t="str">
        <f t="shared" si="27"/>
        <v/>
      </c>
      <c r="OB41" s="241" t="str">
        <f t="shared" si="28"/>
        <v/>
      </c>
      <c r="OC41" s="241" t="str">
        <f t="shared" si="29"/>
        <v/>
      </c>
      <c r="OD41" s="241" t="str">
        <f t="shared" si="30"/>
        <v/>
      </c>
      <c r="OE41" s="241" t="str">
        <f t="shared" si="31"/>
        <v/>
      </c>
      <c r="OF41" s="241" t="str">
        <f t="shared" si="32"/>
        <v/>
      </c>
      <c r="OG41" s="241" t="str">
        <f t="shared" si="33"/>
        <v/>
      </c>
      <c r="OH41" s="241" t="str">
        <f t="shared" si="34"/>
        <v/>
      </c>
      <c r="OI41" s="241" t="str">
        <f t="shared" si="111"/>
        <v/>
      </c>
      <c r="OJ41" s="244" t="str">
        <f t="shared" si="112"/>
        <v/>
      </c>
      <c r="OK41" s="244" t="str">
        <f t="shared" si="113"/>
        <v/>
      </c>
      <c r="OL41" s="244" t="str">
        <f t="shared" si="114"/>
        <v/>
      </c>
      <c r="OM41" s="244" t="str">
        <f t="shared" si="115"/>
        <v/>
      </c>
      <c r="ON41" s="243" t="str">
        <f t="shared" si="35"/>
        <v/>
      </c>
      <c r="OO41" s="235"/>
      <c r="OP41" s="235"/>
      <c r="OQ41" s="244" t="str">
        <f t="shared" si="116"/>
        <v/>
      </c>
      <c r="OR41" s="244" t="str">
        <f t="shared" si="117"/>
        <v/>
      </c>
      <c r="OS41" s="250" t="str">
        <f t="shared" si="36"/>
        <v/>
      </c>
      <c r="OT41" s="250" t="str">
        <f t="shared" si="37"/>
        <v/>
      </c>
      <c r="OU41" s="245" t="str">
        <f t="shared" si="38"/>
        <v/>
      </c>
      <c r="OV41" s="245" t="str">
        <f t="shared" si="39"/>
        <v/>
      </c>
      <c r="OW41" s="234" t="str">
        <f t="shared" si="118"/>
        <v/>
      </c>
      <c r="OX41" s="246" t="str">
        <f t="shared" si="40"/>
        <v/>
      </c>
      <c r="OY41" s="233" t="str">
        <f t="shared" si="119"/>
        <v/>
      </c>
      <c r="OZ41" s="233" t="str">
        <f t="shared" si="41"/>
        <v/>
      </c>
      <c r="PA41" s="234" t="str">
        <f>IF(OR($OZ41="",$OY41=""),"",IF($OY41=0,0,$OZ41/$OY41))</f>
        <v/>
      </c>
      <c r="PB41" s="234" t="str">
        <f>IF(OR($CQ41="",$OZ41=""),"",IF($OZ41=0,0,
GuardLimitUpper(
  ($OZ41-$CQ41)/$OZ41,
  data_GuardLimitFlag,
  1)
))</f>
        <v/>
      </c>
      <c r="PC41" s="234" t="str">
        <f t="shared" si="42"/>
        <v/>
      </c>
      <c r="PD41" s="234" t="str">
        <f t="shared" si="43"/>
        <v/>
      </c>
      <c r="PE41" s="233" t="str">
        <f t="shared" si="121"/>
        <v/>
      </c>
      <c r="PF41" s="234" t="str">
        <f t="shared" si="122"/>
        <v/>
      </c>
      <c r="PG41" s="234" t="str">
        <f t="shared" si="44"/>
        <v/>
      </c>
      <c r="PH41" s="234" t="str">
        <f t="shared" si="45"/>
        <v/>
      </c>
      <c r="PI41" s="234" t="str">
        <f t="shared" si="46"/>
        <v/>
      </c>
      <c r="PJ41" s="247" t="str">
        <f t="shared" si="47"/>
        <v/>
      </c>
      <c r="PK41" s="247" t="str">
        <f t="shared" si="48"/>
        <v/>
      </c>
      <c r="PL41" s="248" t="str">
        <f t="shared" si="123"/>
        <v/>
      </c>
      <c r="PM41" s="248" t="str">
        <f t="shared" si="49"/>
        <v/>
      </c>
      <c r="PN41" s="248" t="str">
        <f t="shared" si="124"/>
        <v/>
      </c>
      <c r="PO41" s="248" t="str">
        <f t="shared" si="50"/>
        <v/>
      </c>
      <c r="PP41" s="566" t="str">
        <f t="shared" si="51"/>
        <v/>
      </c>
      <c r="PQ41" s="581" t="str">
        <f t="shared" si="125"/>
        <v/>
      </c>
      <c r="PR41" s="566" t="str">
        <f t="shared" si="52"/>
        <v/>
      </c>
      <c r="PS41" s="248" t="str">
        <f t="shared" si="53"/>
        <v/>
      </c>
      <c r="PT41" s="248" t="str">
        <f t="shared" si="126"/>
        <v/>
      </c>
      <c r="PU41" s="248" t="str">
        <f t="shared" si="54"/>
        <v/>
      </c>
      <c r="PV41" s="248" t="str">
        <f t="shared" si="127"/>
        <v/>
      </c>
      <c r="PW41" s="566" t="str">
        <f t="shared" si="55"/>
        <v/>
      </c>
      <c r="PX41" s="566" t="str">
        <f t="shared" si="161"/>
        <v/>
      </c>
      <c r="PY41" s="566" t="str">
        <f t="shared" si="56"/>
        <v/>
      </c>
      <c r="PZ41" s="248" t="str">
        <f t="shared" si="57"/>
        <v/>
      </c>
      <c r="QA41" s="248" t="str">
        <f t="shared" si="58"/>
        <v/>
      </c>
      <c r="QB41" s="248" t="str">
        <f t="shared" si="59"/>
        <v/>
      </c>
      <c r="QC41" s="248" t="str">
        <f t="shared" si="60"/>
        <v/>
      </c>
      <c r="QD41" s="248" t="str">
        <f t="shared" si="128"/>
        <v/>
      </c>
      <c r="QE41" s="248" t="str">
        <f t="shared" si="129"/>
        <v/>
      </c>
      <c r="QF41" s="248" t="str">
        <f t="shared" si="130"/>
        <v/>
      </c>
      <c r="QG41" s="249" t="str">
        <f t="shared" si="61"/>
        <v/>
      </c>
      <c r="QH41" s="249" t="str">
        <f t="shared" si="62"/>
        <v/>
      </c>
      <c r="QI41" s="249" t="str">
        <f t="shared" si="63"/>
        <v/>
      </c>
      <c r="QJ41" s="249" t="str">
        <f t="shared" si="64"/>
        <v/>
      </c>
      <c r="QK41" s="249" t="str">
        <f t="shared" si="65"/>
        <v/>
      </c>
      <c r="QL41" s="249" t="str">
        <f t="shared" si="131"/>
        <v/>
      </c>
      <c r="QM41" s="249" t="str">
        <f>IF(OR($O$8="Lv2",$O$8="Lv3",$O$8="Lv4"),IF(OR($AS41="",COUNT($PL41:$QL41)=0),"",
GuardLimitLower(
  $AS41-SUM($PL41:$QL41),
  data_GuardLimitFlag,
  0)
),"")</f>
        <v/>
      </c>
      <c r="QN41" s="249" t="str">
        <f t="shared" si="132"/>
        <v/>
      </c>
      <c r="QO41" s="251" t="str">
        <f t="shared" si="133"/>
        <v/>
      </c>
      <c r="QP41" s="251" t="str">
        <f t="shared" si="134"/>
        <v/>
      </c>
      <c r="QQ41" s="251" t="str">
        <f t="shared" si="135"/>
        <v/>
      </c>
      <c r="QR41" s="251" t="str">
        <f t="shared" si="66"/>
        <v/>
      </c>
      <c r="QS41" s="234" t="str">
        <f t="shared" si="67"/>
        <v/>
      </c>
      <c r="QT41" s="234" t="str">
        <f t="shared" si="68"/>
        <v/>
      </c>
      <c r="QU41" s="234" t="str">
        <f t="shared" si="69"/>
        <v/>
      </c>
      <c r="QV41" s="233" t="str">
        <f t="shared" si="70"/>
        <v/>
      </c>
      <c r="QW41" s="233" t="str">
        <f t="shared" si="71"/>
        <v/>
      </c>
      <c r="QX41" s="233" t="str">
        <f t="shared" si="72"/>
        <v/>
      </c>
      <c r="QY41" s="233" t="str">
        <f t="shared" si="73"/>
        <v/>
      </c>
      <c r="QZ41" s="233" t="str">
        <f t="shared" si="74"/>
        <v/>
      </c>
      <c r="RA41" s="234" t="str">
        <f t="shared" si="136"/>
        <v/>
      </c>
      <c r="RB41" s="234" t="str">
        <f t="shared" si="75"/>
        <v/>
      </c>
      <c r="RC41" s="234" t="str">
        <f t="shared" si="76"/>
        <v/>
      </c>
      <c r="RD41" s="234" t="str">
        <f t="shared" si="77"/>
        <v/>
      </c>
      <c r="RE41" s="234" t="str">
        <f t="shared" si="78"/>
        <v/>
      </c>
      <c r="RF41" s="234" t="str">
        <f t="shared" si="79"/>
        <v/>
      </c>
      <c r="RG41" s="234" t="str">
        <f t="shared" si="80"/>
        <v/>
      </c>
      <c r="RH41" s="234" t="str">
        <f t="shared" si="81"/>
        <v/>
      </c>
      <c r="RI41" s="234" t="str">
        <f t="shared" si="82"/>
        <v/>
      </c>
      <c r="RJ41" s="150"/>
      <c r="RK41" s="150"/>
      <c r="RL41" s="150"/>
      <c r="RM41" s="150"/>
      <c r="RN41" s="150"/>
      <c r="RO41" s="150"/>
      <c r="RP41" s="150"/>
      <c r="RQ41" s="150"/>
      <c r="RR41" s="249" t="str">
        <f t="shared" si="83"/>
        <v/>
      </c>
      <c r="RS41" s="253"/>
      <c r="RT41" s="253"/>
      <c r="RU41" s="233" t="str">
        <f t="shared" si="137"/>
        <v/>
      </c>
      <c r="RV41" s="233" t="str">
        <f t="shared" si="138"/>
        <v/>
      </c>
      <c r="RW41" s="233" t="str">
        <f t="shared" si="139"/>
        <v/>
      </c>
      <c r="RX41" s="233" t="str">
        <f t="shared" si="140"/>
        <v/>
      </c>
      <c r="RY41" s="233" t="str">
        <f t="shared" si="141"/>
        <v/>
      </c>
      <c r="RZ41" s="233" t="str">
        <f t="shared" si="84"/>
        <v/>
      </c>
      <c r="SA41" s="233" t="str">
        <f t="shared" si="85"/>
        <v/>
      </c>
      <c r="SB41" s="233" t="str">
        <f t="shared" si="86"/>
        <v/>
      </c>
      <c r="SC41" s="233" t="str">
        <f t="shared" si="87"/>
        <v/>
      </c>
      <c r="SD41" s="233" t="str">
        <f t="shared" si="88"/>
        <v/>
      </c>
      <c r="SE41" s="233" t="str">
        <f t="shared" si="89"/>
        <v/>
      </c>
      <c r="SF41" s="233" t="str">
        <f t="shared" si="90"/>
        <v/>
      </c>
      <c r="SG41" s="233" t="str">
        <f t="shared" si="91"/>
        <v/>
      </c>
      <c r="SH41" s="233" t="str">
        <f t="shared" si="92"/>
        <v/>
      </c>
      <c r="SI41" s="233" t="str">
        <f t="shared" si="93"/>
        <v/>
      </c>
      <c r="SJ41" s="233" t="str">
        <f t="shared" si="94"/>
        <v/>
      </c>
      <c r="SK41" s="233" t="str">
        <f t="shared" si="95"/>
        <v/>
      </c>
      <c r="SL41" s="233" t="str">
        <f t="shared" si="96"/>
        <v/>
      </c>
      <c r="SM41" s="254" t="str">
        <f t="shared" si="142"/>
        <v/>
      </c>
      <c r="SN41" s="255" t="str">
        <f t="shared" si="97"/>
        <v/>
      </c>
      <c r="SO41" s="234" t="str">
        <f>IF(OR($OI41="",$OC41="",COUNT($OI$30:$OI$41)=0),"",IF(MAX($OI$30:$OI$41)=0,0,($OI41-$OC41)/MAX($OI$30:$OI$41)))</f>
        <v/>
      </c>
      <c r="SP41" s="234" t="str">
        <f>IF(OR($NH41="",COUNT($NH$30:$NH$41)=0),"",IF(MAX($NH$30:$NH$41)=0,0,$NH41/MAX($NH$30:$NH$41)))</f>
        <v/>
      </c>
      <c r="SQ41" s="249" t="str">
        <f t="shared" si="145"/>
        <v/>
      </c>
      <c r="SR41" s="249" t="str">
        <f t="shared" si="146"/>
        <v/>
      </c>
      <c r="SS41" s="249" t="str">
        <f t="shared" si="147"/>
        <v/>
      </c>
      <c r="ST41" s="249" t="str">
        <f t="shared" si="148"/>
        <v/>
      </c>
      <c r="SU41" s="249" t="str">
        <f t="shared" si="149"/>
        <v/>
      </c>
      <c r="SV41" s="249" t="str">
        <f t="shared" si="150"/>
        <v/>
      </c>
      <c r="SW41" s="249" t="str">
        <f t="shared" si="151"/>
        <v/>
      </c>
      <c r="SX41" s="249" t="str">
        <f t="shared" si="152"/>
        <v/>
      </c>
      <c r="SY41" s="249" t="str">
        <f t="shared" si="153"/>
        <v/>
      </c>
      <c r="SZ41" s="249" t="str">
        <f t="shared" si="154"/>
        <v/>
      </c>
      <c r="TA41" s="249" t="str">
        <f t="shared" si="155"/>
        <v/>
      </c>
      <c r="TB41" s="249" t="str">
        <f t="shared" si="156"/>
        <v/>
      </c>
      <c r="TC41" s="249" t="str">
        <f t="shared" si="98"/>
        <v/>
      </c>
      <c r="TD41" s="249" t="str">
        <f t="shared" si="157"/>
        <v/>
      </c>
      <c r="TE41" s="249" t="str">
        <f t="shared" si="158"/>
        <v/>
      </c>
      <c r="TF41" s="249" t="str">
        <f t="shared" si="159"/>
        <v/>
      </c>
      <c r="TG41" s="249" t="str">
        <f t="shared" si="160"/>
        <v/>
      </c>
      <c r="TQ41" s="339"/>
      <c r="TR41" s="452" t="s">
        <v>466</v>
      </c>
      <c r="TS41" s="453" t="s">
        <v>832</v>
      </c>
      <c r="TT41" s="453" t="s">
        <v>1494</v>
      </c>
      <c r="TU41" s="453" t="s">
        <v>1496</v>
      </c>
      <c r="TV41" s="453" t="s">
        <v>1497</v>
      </c>
      <c r="TW41" s="453" t="s">
        <v>1498</v>
      </c>
      <c r="TX41" s="453" t="s">
        <v>1499</v>
      </c>
      <c r="TY41" s="453" t="s">
        <v>1500</v>
      </c>
      <c r="TZ41" s="453" t="s">
        <v>1501</v>
      </c>
      <c r="UA41" s="453" t="s">
        <v>1502</v>
      </c>
      <c r="UC41" s="339"/>
      <c r="UD41" s="454" t="s">
        <v>467</v>
      </c>
      <c r="UE41" s="330" t="s">
        <v>1495</v>
      </c>
      <c r="UF41" s="330" t="s">
        <v>1513</v>
      </c>
      <c r="UG41" s="330" t="s">
        <v>1514</v>
      </c>
      <c r="UH41" s="330" t="s">
        <v>1515</v>
      </c>
      <c r="UI41" s="330" t="s">
        <v>1516</v>
      </c>
      <c r="UJ41" s="330" t="s">
        <v>1512</v>
      </c>
      <c r="UK41" s="330" t="s">
        <v>865</v>
      </c>
      <c r="UL41" s="330" t="s">
        <v>866</v>
      </c>
      <c r="UM41" s="330" t="s">
        <v>1503</v>
      </c>
      <c r="UN41" s="330" t="s">
        <v>1504</v>
      </c>
      <c r="UO41" s="330" t="s">
        <v>1505</v>
      </c>
      <c r="UP41" s="330" t="s">
        <v>1506</v>
      </c>
      <c r="UQ41" s="330" t="s">
        <v>1507</v>
      </c>
      <c r="UR41" s="330" t="s">
        <v>1508</v>
      </c>
      <c r="US41" s="330" t="s">
        <v>1509</v>
      </c>
      <c r="UT41" s="330" t="s">
        <v>1510</v>
      </c>
      <c r="UU41" s="330" t="s">
        <v>1511</v>
      </c>
      <c r="UV41" s="330" t="s">
        <v>867</v>
      </c>
      <c r="UW41" s="330" t="s">
        <v>868</v>
      </c>
      <c r="UX41" s="330" t="s">
        <v>869</v>
      </c>
      <c r="UZ41" s="287"/>
      <c r="WC41" s="270"/>
      <c r="WD41" s="270"/>
      <c r="WE41" s="270"/>
      <c r="WF41" s="270"/>
      <c r="WG41" s="270"/>
      <c r="WH41" s="270"/>
      <c r="WI41" s="270"/>
      <c r="WJ41" s="270"/>
      <c r="WK41" s="270"/>
      <c r="WL41" s="270"/>
      <c r="WM41" s="270"/>
      <c r="WN41" s="270"/>
      <c r="WO41" s="270"/>
      <c r="WP41" s="270"/>
      <c r="WQ41" s="270"/>
      <c r="WR41" s="270"/>
      <c r="WS41" s="270"/>
    </row>
    <row r="42" spans="28:617" x14ac:dyDescent="0.25">
      <c r="MC42" s="284" t="s">
        <v>1195</v>
      </c>
      <c r="MD42" s="417"/>
      <c r="ME42" s="418"/>
      <c r="MF42" s="418"/>
      <c r="MG42" s="418"/>
      <c r="MH42" s="418"/>
      <c r="MI42" s="418"/>
      <c r="MJ42" s="418"/>
      <c r="MK42" s="418"/>
      <c r="ML42" s="418"/>
      <c r="MM42" s="418"/>
      <c r="MN42" s="418"/>
      <c r="MO42" s="418"/>
      <c r="MP42" s="418"/>
      <c r="MQ42" s="418"/>
      <c r="MR42" s="418"/>
      <c r="MS42" s="418"/>
      <c r="MT42" s="419"/>
      <c r="NA42" s="262"/>
      <c r="NB42" s="471" t="str">
        <f>IF(OR(COUNTA($NA30:$NB41)=0,$G$11=""),"","CMG " &amp; $G$11 &amp; " total")</f>
        <v/>
      </c>
      <c r="NC42" s="256" t="str">
        <f>IF(COUNT(NC30:NC41)=0,"",AVERAGE(NC30:NC41))</f>
        <v/>
      </c>
      <c r="ND42" s="256" t="str">
        <f>IF(OR(COUNT(NI30:NI41)=0,,$NC$42=""),"",IF($NC$42=0,0,SUM(NI30:NI41)/10^9/$NC$42))</f>
        <v/>
      </c>
      <c r="NE42" s="257" t="str">
        <f>IF(COUNT(NE30:NE41)=0,"",AVERAGE(NE30:NE41))</f>
        <v/>
      </c>
      <c r="NF42" s="256" t="str">
        <f>IF(OR(COUNT($AO30:$AO41)=0,COUNT($AQ30:$AQ41)=0,COUNT($AR30:$AR41)=0,COUNT($AP30:$AP41)=0,$C$7="",$NC$42=""),"",IF($NC$42=0,0,(SUM($AO30:$AO41)-SUM($AQ30:$AQ41)-SUM($AR30:$AR41)+SUM($AP30:$AP41))*$C$7/$NC$42/10^9))</f>
        <v/>
      </c>
      <c r="NG42" s="257" t="str">
        <f>IF(NF$42="","",NF$42/256)</f>
        <v/>
      </c>
      <c r="NH42" s="256" t="str">
        <f>IF(COUNT(NH30:NH41)=0,"",SUM(NH30:NH41))</f>
        <v/>
      </c>
      <c r="NI42" s="256" t="str">
        <f>IF(COUNT(NI30:NI41)=0,"",SUM(NI30:NI41))</f>
        <v/>
      </c>
      <c r="NJ42" s="258" t="str">
        <f>IF(OR(COUNT($AT30:$AT41)=0,COUNT($AS30:$AS41)=0),"",IF(SUM($AS30:$AS41)=0,0,SUM($AT30:$AT41)/SUM($AS30:$AS41)))</f>
        <v/>
      </c>
      <c r="NK42" s="259" t="str">
        <f>IF(OR(COUNT($AM30:$AM41)=0,$C$11="",COUNT($AN30:$AN41)=""),"",IF(SUM($AM30:$AM41)*$C$11+SUM($AN30:$AN41)=0,0,SUM($AM30:$AM41)*$C$11/(SUM($AM30:$AM41)*$C$11+SUM($AN30:$AN41))))</f>
        <v/>
      </c>
      <c r="NL42" s="259" t="str">
        <f>IF(OR(COUNT($CB30:$CB41)=0,COUNT($CD30:$CD41)=0,COUNT($CA30:$CA41)=0,COUNT($CC30:$CC41)=0),"",IF(SUM($CA30:$CA41)+SUM($CC30:$CC41)=0,0,
GuardLimitUpper(
  (SUM($CB30:$CB41)+SUM($CD30:$CD41))/((SUM($CA30:$CA41)+SUM($CC30:$CC41))*16),
  data_GuardLimitFlag,
  1)
))</f>
        <v/>
      </c>
      <c r="NM42" s="256" t="str">
        <f>IF(COUNT(NM30:NM41)=0,"",AVERAGE(NM30:NM41))</f>
        <v/>
      </c>
      <c r="NN42" s="256" t="str">
        <f>IF(OR(COUNT($AS30:$AS41)=0,$NC$42=""),"",IF($NC$42=0,0,SUM($AS30:$AS41)/10^9/$NC$42))</f>
        <v/>
      </c>
      <c r="NO42" s="241" t="str">
        <f>IF(COUNT(NO30:NO41)=0,"",AVERAGE(NO30:NO41))</f>
        <v/>
      </c>
      <c r="NP42" s="241" t="str">
        <f>IF(COUNT(NP30:NP41)=0,"",AVERAGE(NP30:NP41))</f>
        <v/>
      </c>
      <c r="NQ42" s="241" t="str">
        <f>IF(COUNT(NQ30:NQ41)=0,"",AVERAGE(NQ30:NQ41))</f>
        <v/>
      </c>
      <c r="NR42" s="241" t="str">
        <f t="shared" ref="NR42:OD42" si="162">IF(COUNT(NR30:NR41)=0,"",AVERAGE(NR30:NR41))</f>
        <v/>
      </c>
      <c r="NS42" s="241" t="str">
        <f t="shared" si="162"/>
        <v/>
      </c>
      <c r="NT42" s="241" t="str">
        <f>IF(COUNT(NT30:NT41)=0,"",AVERAGE(NT30:NT41))</f>
        <v/>
      </c>
      <c r="NU42" s="241" t="str">
        <f t="shared" si="162"/>
        <v/>
      </c>
      <c r="NV42" s="241" t="str">
        <f t="shared" si="162"/>
        <v/>
      </c>
      <c r="NW42" s="241" t="str">
        <f>IF(COUNT(NW30:NW41)=0,"",AVERAGE(NW30:NW41))</f>
        <v/>
      </c>
      <c r="NX42" s="241" t="str">
        <f t="shared" si="162"/>
        <v/>
      </c>
      <c r="NY42" s="241" t="str">
        <f>IF(COUNT(NY30:NY41)=0,"",AVERAGE(NY30:NY41))</f>
        <v/>
      </c>
      <c r="NZ42" s="241" t="str">
        <f>IF(COUNT(NZ30:NZ41)=0,"",AVERAGE(NZ30:NZ41))</f>
        <v/>
      </c>
      <c r="OA42" s="241" t="str">
        <f>IF(COUNT(OA30:OA41)=0,"",AVERAGE(OA30:OA41))</f>
        <v/>
      </c>
      <c r="OB42" s="241" t="str">
        <f>IF(COUNT(OB30:OB41)=0,"",AVERAGE(OB30:OB41))</f>
        <v/>
      </c>
      <c r="OC42" s="241" t="str">
        <f>IF(COUNT(OC30:OC41)=0,"",AVERAGE(OC30:OC41))</f>
        <v/>
      </c>
      <c r="OD42" s="241" t="str">
        <f t="shared" si="162"/>
        <v/>
      </c>
      <c r="OE42" s="241" t="str">
        <f>IF(COUNT(OE30:OE41)=0,"",AVERAGE(OE30:OE41))</f>
        <v/>
      </c>
      <c r="OF42" s="241" t="str">
        <f>IF(COUNT(OF30:OF41)=0,"",AVERAGE(OF30:OF41))</f>
        <v/>
      </c>
      <c r="OG42" s="241" t="str">
        <f>IF(COUNT(OG30:OG41)=0,"",AVERAGE(OG30:OG41))</f>
        <v/>
      </c>
      <c r="OH42" s="241" t="str">
        <f>IF(COUNT(OH30:OH41)=0,"",AVERAGE(OH30:OH41))</f>
        <v/>
      </c>
      <c r="OI42" s="241" t="str">
        <f>IF(COUNT(OI30:OI41)=0,"",AVERAGE(OI30:OI41))</f>
        <v/>
      </c>
      <c r="OJ42" s="257" t="str">
        <f>IF(OR(COUNT($CA30:$CA41)=0,COUNT($BV30:$BV41)=0),"",IF(SUM($BV30:$BV41)=0,0,SUM($CA30:$CA41)/SUM($BV30:$BV41)))</f>
        <v/>
      </c>
      <c r="OK42" s="257" t="str">
        <f>IF(OR(COUNT($CC30:$CC41)=0,COUNT($BV30:$BV41)=0),"",IF(SUM($BV30:$BV41)=0,0,SUM($CC30:$CC41)/SUM($BV30:$BV41)))</f>
        <v/>
      </c>
      <c r="OL42" s="257" t="str">
        <f>IF(OR(COUNT($FO30:$FO41)=0,COUNT($FH30:$FH41)=0),"",IF(SUM($FH30:$FH41)=0,0,SUM($FO30:$FO41)/SUM($FH30:$FH41)))</f>
        <v/>
      </c>
      <c r="OM42" s="257" t="str">
        <f>IF(OR(COUNT($FP30:$FP41)=0,COUNT($FH30:$FH41)=0),"",IF(SUM($FH30:$FH41)=0,0,SUM($FP30:$FP41)/SUM($FH30:$FH41)))</f>
        <v/>
      </c>
      <c r="ON42" s="260" t="str">
        <f>IF(OR(COUNT($BW30:$BW41)=0,COUNT($BX30:$BX41)=0,COUNT($BV30:$BV41)=0),"",IF(SUM($BV30:$BV41)=0,0,(SUM($BW30:$BW41)+SUM($BX30:$BX41))/2/SUM($BV30:$BV41)))</f>
        <v/>
      </c>
      <c r="OO42" s="244" t="str">
        <f>IF(OR(COUNT($BY$30:$BY$41)=0,COUNT($BV$30:$BV$41)=0),"",IF(SUM($BV$30:$BV$41)=0,0,SUM($BY$30:$BY$41)/2/SUM($BV$30:$BV$41)))</f>
        <v/>
      </c>
      <c r="OP42" s="244" t="str">
        <f>IF($OK$25="","",IF(NG42="","",NG$42))</f>
        <v/>
      </c>
      <c r="OQ42" s="257" t="str">
        <f>IF(OR(COUNT($FM30:$FM41)=0,COUNT($FH30:$FH41)=0),"",IF(SUM($FH30:$FH41)=0,0,SUM($FM30:$FM41)/SUM($FH30:$FH41)))</f>
        <v/>
      </c>
      <c r="OR42" s="257" t="str">
        <f>IF(OR(COUNT($FN30:$FN41)=0,COUNT($FH30:$FH41)=0),"",IF(SUM($FH30:$FH41)=0,0,SUM($FN30:$FN41)/SUM($FH30:$FH41)))</f>
        <v/>
      </c>
      <c r="OS42" s="257" t="str">
        <f>IF(OR(COUNT(CB30:CB41)=0,COUNT(CA30:CA41)=0),"",IF(SUM($CA30:$CA41)=0,0,
GuardLimitUpper(
  SUM($CB30:$CB41)/(SUM($CA30:$CA41)*16),
  data_GuardLimitFlag,
  1)
))</f>
        <v/>
      </c>
      <c r="OT42" s="257" t="str">
        <f>IF(OR(COUNT(CD30:CD41)=0,COUNT(CC30:CC41)=0),"",IF(SUM($CC30:$CC41)=0,0,
GuardLimitUpper(
  SUM($CD30:$CD41)/(SUM($CC30:$CC41)*16),
  data_GuardLimitFlag,
  1)
))</f>
        <v/>
      </c>
      <c r="OU42" s="257" t="str">
        <f>IF(COUNT(OU30:OU41)=0,"",AVERAGE(OU30:OU41))</f>
        <v/>
      </c>
      <c r="OV42" s="257" t="str">
        <f>IF(COUNT(OV30:OV41)=0,"",AVERAGE(OV30:OV41))</f>
        <v/>
      </c>
      <c r="OW42" s="257" t="str">
        <f>IF(OR(COUNT($BZ30:$BZ41)=0,COUNT($BV30:$BV41)=0),"",IF(SUM($BV30:$BV41)=0,0,SUM($BZ30:$BZ41)/SUM($BV30:$BV41)))</f>
        <v/>
      </c>
      <c r="OX42" s="257" t="str">
        <f>IF(OR(COUNT($GG30:$GG41)=0,COUNT($AS30:$AS41)=0),"",IF(SUM($AS30:$AS41)=0,0,SUM($GG30:$GG41)/SUM($AS30:$AS41)))</f>
        <v/>
      </c>
      <c r="OY42" s="256" t="str">
        <f>IF(COUNT(OY30:OY41)=0,"",SUM(OY30:OY41))</f>
        <v/>
      </c>
      <c r="OZ42" s="256" t="str">
        <f>IF(COUNT(OZ30:OZ41)=0,"",SUM(OZ30:OZ41))</f>
        <v/>
      </c>
      <c r="PA42" s="257" t="str">
        <f>IF(OR($OZ$42="",$OY$42=""),"",IF($OY$42=0,0,$OZ$42/$OY$42))</f>
        <v/>
      </c>
      <c r="PB42" s="234" t="str">
        <f>IF(OR(COUNT($OZ30:$OZ41)=0,COUNT($CQ30:$CQ41)=0,$OZ$42=""),"",IF($OZ$42=0,0,
GuardLimitUpper(
  (SUM($OZ30:$OZ41)-SUM($CQ30:$CQ41))/$OZ$42,
  data_GuardLimitFlag,
  1)
))</f>
        <v/>
      </c>
      <c r="PC42" s="234" t="str">
        <f>IF(OR(COUNT($GB30:$GB41)=0,$OZ$42=""),"",IF($OZ$42=0,0,
GuardLimitUpper(
  SUM($GB30:$GB41)/$OZ$42,
  data_GuardLimitFlag,
  1)
))</f>
        <v/>
      </c>
      <c r="PD42" s="234" t="str">
        <f>IF(OR(COUNT($CQ30:$CQ41)=0,COUNT($GB30:$GB41)=0,$OZ$42=""),"",IF($OZ$42=0,0,
GuardLimitUpper(
  (SUM($CQ30:$CQ41)-SUM($GB30:$GB41))/$OZ$42,
  data_GuardLimitFlag,
  1)
))</f>
        <v/>
      </c>
      <c r="PE42" s="256" t="str">
        <f>IF(COUNT(PE30:PE41)=0,"",SUM(PE30:PE41))</f>
        <v/>
      </c>
      <c r="PF42" s="257" t="str">
        <f>IF(OR($PE$42="",$OY$42=""),"",IF($OY$42=0,0,$PE$42/$OY$42))</f>
        <v/>
      </c>
      <c r="PG42" s="234" t="str">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
      </c>
      <c r="PH42" s="234" t="str">
        <f>IF(OR(COUNT($GD30:$GD41)=0,COUNT($CS30:$CS41)=0,COUNT($CO30:$CO41)=0,COUNT($GC30:$GC41)=0,COUNT($GH30:$GH41)=0),"",IF(SUM($CS30:$CS41)-SUM($CO30:$CO41)+SUM($GC30:$GC41)-SUM($GH30:$GH41)=0,0,
GuardLimitUpper(
  SUM($GD30:$GD41)/(SUM($CS30:$CS41)-SUM($CO30:$CO41)+SUM($GC30:$GC41)-SUM($GH30:$GH41)),
  data_GuardLimitFlag,
  1)
))</f>
        <v/>
      </c>
      <c r="PI42" s="234" t="str">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
      </c>
      <c r="PJ42" s="261" t="str">
        <f>IF(OR(COUNT($GE30:$GE41)=0,$OY$42=""),"",IF($OY$42=0,0,SUM($GE30:$GE41)/$OY$42))</f>
        <v/>
      </c>
      <c r="PK42" s="261" t="str">
        <f>IF(OR(COUNT($GF30:$GF41)=0,$OY$42=""),"",IF($OY$42=0,0,SUM($GF30:$GF41)/$OY$42))</f>
        <v/>
      </c>
      <c r="PL42" s="256" t="str">
        <f>IF(COUNT(PL30:PL41)=0,"",SUM(PL30:PL41))</f>
        <v/>
      </c>
      <c r="PM42" s="256" t="str">
        <f>IF(COUNT(PM30:PM41)=0,"",SUM(PM30:PM41))</f>
        <v/>
      </c>
      <c r="PN42" s="256" t="str">
        <f>IF(COUNT(PN30:PN41)=0,"",SUM(PN30:PN41))</f>
        <v/>
      </c>
      <c r="PO42" s="256" t="str">
        <f t="shared" ref="PO42:QL42" si="163">IF(COUNT(PO30:PO41)=0,"",SUM(PO30:PO41))</f>
        <v/>
      </c>
      <c r="PP42" s="256" t="str">
        <f>IF(COUNT(PP30:PP41)=0,"",SUM(PP30:PP41))</f>
        <v/>
      </c>
      <c r="PQ42" s="256" t="str">
        <f>IF(COUNT(PQ30:PQ41)=0,"",SUM(PQ30:PQ41))</f>
        <v/>
      </c>
      <c r="PR42" s="256" t="str">
        <f t="shared" si="163"/>
        <v/>
      </c>
      <c r="PS42" s="256" t="str">
        <f>IF(COUNT(PS30:PS41)=0,"",SUM(PS30:PS41))</f>
        <v/>
      </c>
      <c r="PT42" s="256" t="str">
        <f>IF(COUNT(PT30:PT41)=0,"",SUM(PT30:PT41))</f>
        <v/>
      </c>
      <c r="PU42" s="256" t="str">
        <f t="shared" si="163"/>
        <v/>
      </c>
      <c r="PV42" s="256" t="str">
        <f>IF(COUNT(PV30:PV41)=0,"",SUM(PV30:PV41))</f>
        <v/>
      </c>
      <c r="PW42" s="256" t="str">
        <f>IF(COUNT(PW30:PW41)=0,"",SUM(PW30:PW41))</f>
        <v/>
      </c>
      <c r="PX42" s="256" t="str">
        <f>IF(COUNT(PX30:PX41)=0,"",SUM(PX30:PX41))</f>
        <v/>
      </c>
      <c r="PY42" s="256" t="str">
        <f>IF(COUNT(PY30:PY41)=0,"",SUM(PY30:PY41))</f>
        <v/>
      </c>
      <c r="PZ42" s="256" t="str">
        <f>IF(COUNT(PZ30:PZ41)=0,"",SUM(PZ30:PZ41))</f>
        <v/>
      </c>
      <c r="QA42" s="256" t="str">
        <f t="shared" si="163"/>
        <v/>
      </c>
      <c r="QB42" s="256" t="str">
        <f>IF(COUNT(QB30:QB41)=0,"",SUM(QB30:QB41))</f>
        <v/>
      </c>
      <c r="QC42" s="256" t="str">
        <f t="shared" si="163"/>
        <v/>
      </c>
      <c r="QD42" s="256" t="str">
        <f t="shared" si="163"/>
        <v/>
      </c>
      <c r="QE42" s="256" t="str">
        <f t="shared" si="163"/>
        <v/>
      </c>
      <c r="QF42" s="256" t="str">
        <f>IF(COUNT(QF30:QF41)=0,"",SUM(QF30:QF41))</f>
        <v/>
      </c>
      <c r="QG42" s="256" t="str">
        <f t="shared" si="163"/>
        <v/>
      </c>
      <c r="QH42" s="256" t="str">
        <f>IF(COUNT(QH30:QH41)=0,"",SUM(QH30:QH41))</f>
        <v/>
      </c>
      <c r="QI42" s="256" t="str">
        <f t="shared" si="163"/>
        <v/>
      </c>
      <c r="QJ42" s="256" t="str">
        <f t="shared" si="163"/>
        <v/>
      </c>
      <c r="QK42" s="256" t="str">
        <f t="shared" si="163"/>
        <v/>
      </c>
      <c r="QL42" s="256" t="str">
        <f t="shared" si="163"/>
        <v/>
      </c>
      <c r="QM42" s="256" t="str">
        <f>IF(COUNT(QM30:QM41)=0,"",SUM(QM30:QM41))</f>
        <v/>
      </c>
      <c r="QN42" s="256" t="str">
        <f>IF(COUNT(QN30:QN41)=0,"",SUM(QN30:QN41))</f>
        <v/>
      </c>
      <c r="QO42" s="256" t="str">
        <f>IF(OR(COUNT($EU30:$EU41)=0,$C$11="",COUNT($EW30:$EW41)=0,COUNT($AM30:$AM41)=0,COUNT($AN30:$AN41)=0),"",
    SUM($EU30:$EU41)*$C$11+SUM($EW30:$EW41))</f>
        <v/>
      </c>
      <c r="QP42" s="256" t="str">
        <f>IF(OR(COUNT($EV30:$EV41)=0,$C$11="",COUNT($EX30:$EX41)=0,COUNT($AM30:$AM41)=0,COUNT($AN30:$AN41)=0),"", SUM($EV30:$EV41)*$C$11+SUM($EX30:$EX41))</f>
        <v/>
      </c>
      <c r="QQ42" s="256" t="str">
        <f>IF(OR(COUNT($AM30:$AM41)=0,COUNT($EV30:$EV41)=0,COUNT($EU30:$EU41)=0,$C$11="",COUNT($AN30:$AN41)=0,COUNT($EX30:$EX41)=0,COUNT($EW30:$EW41)=0),"", (SUM($AM30:$AM41)-SUM($EV30:$EV41)-SUM($EU30:$EU41))*$C$11+(SUM($AN30:$AN41)-SUM($EX30:$EX41)-SUM($EW30:$EW41))
     )</f>
        <v/>
      </c>
      <c r="QR42" s="256" t="str">
        <f>IF(OR(COUNT($AM30:$AM41)=0,$C$11="",COUNT($AN30:$AN41)=0,COUNT($CB30:$CB41)=0,COUNT($CD30:$CD41)=0,COUNT($CA30:$CA41)=0,COUNT($CC30:$CC41)=0,$NC$42=""),"",
   IF(OR(SUM($CA30:$CA41)+SUM($CC30:$CC41)=0,$NC$42=0),0,
     (SUM($AM30:$AM41)*$C$11+SUM($AN30:$AN41))*
GuardLimitUpper(
  (SUM($CB30:$CB41)+SUM($CD30:$CD41))/((SUM($CA30:$CA41)+SUM($CC30:$CC41))*$C$17),
  data_GuardLimitFlag,
  1)
/10^9/$NC$42 ))</f>
        <v/>
      </c>
      <c r="QS42" s="257" t="str">
        <f>IF(COUNT(QS30:QS41)=0,"",AVERAGE(QS30:QS41))</f>
        <v/>
      </c>
      <c r="QT42" s="257" t="str">
        <f>IF(COUNT(QT30:QT41)=0,"",AVERAGE(QT30:QT41))</f>
        <v/>
      </c>
      <c r="QU42" s="257" t="str">
        <f>IF(COUNT(QU30:QU41)=0,"",AVERAGE(QU30:QU41))</f>
        <v/>
      </c>
      <c r="QV42" s="256" t="str">
        <f>IF(COUNT(QV30:QV41)=0,"",SUM(QV30:QV41))</f>
        <v/>
      </c>
      <c r="QW42" s="256" t="str">
        <f>IF(COUNT(QW30:QW41)=0,"",SUM(QW30:QW41))</f>
        <v/>
      </c>
      <c r="QX42" s="256" t="str">
        <f>IF(COUNT(QX30:QX41)=0,"",SUM(QX30:QX41))</f>
        <v/>
      </c>
      <c r="QY42" s="256" t="str">
        <f>IF(COUNT(QY30:QY41)=0,"",SUM(QY30:QY41))</f>
        <v/>
      </c>
      <c r="QZ42" s="256" t="str">
        <f>IF(COUNT(QZ30:QZ41)=0,"",SUM(QZ30:QZ41))</f>
        <v/>
      </c>
      <c r="RA42" s="257" t="str">
        <f>IF(COUNT(RA30:RA41)=0,"",AVERAGE(RA30:RA41))</f>
        <v/>
      </c>
      <c r="RB42" s="257" t="str">
        <f>IF(COUNT(RB30:RB41)=0,"",AVERAGE(RB30:RB41))</f>
        <v/>
      </c>
      <c r="RC42" s="234" t="str">
        <f>IF(COUNT(RC30:RC41)=0,"",AVERAGE(RC30:RC41))</f>
        <v/>
      </c>
      <c r="RD42" s="234" t="str">
        <f t="shared" ref="RD42:RI42" si="164">IF(COUNT(RD30:RD41)=0,"",AVERAGE(RD30:RD41))</f>
        <v/>
      </c>
      <c r="RE42" s="234" t="str">
        <f t="shared" si="164"/>
        <v/>
      </c>
      <c r="RF42" s="234" t="str">
        <f t="shared" si="164"/>
        <v/>
      </c>
      <c r="RG42" s="234" t="str">
        <f t="shared" si="164"/>
        <v/>
      </c>
      <c r="RH42" s="234" t="str">
        <f t="shared" si="164"/>
        <v/>
      </c>
      <c r="RI42" s="234" t="str">
        <f t="shared" si="164"/>
        <v/>
      </c>
      <c r="RJ42" s="150"/>
      <c r="RK42" s="150"/>
      <c r="RL42" s="150"/>
      <c r="RM42" s="150"/>
      <c r="RN42" s="150"/>
      <c r="RO42" s="150"/>
      <c r="RP42" s="150"/>
      <c r="RQ42" s="150"/>
      <c r="RR42" s="249" t="str">
        <f>IF(COUNT(RR30:RR41)=0,"",SUM(RR30:RR41))</f>
        <v/>
      </c>
      <c r="RS42" s="254" t="str">
        <f>IF(OR(COUNT($FK30:$FK41)=0,$NC$42=""),"",IF($NC$42=0,0,AVERAGE($FK30:$FK41)*32/10^9/$NC$42))</f>
        <v/>
      </c>
      <c r="RT42" s="254" t="str">
        <f>IF(OR(COUNT($FL30:$FL41)=0,$NC$42=""),"",IF($NC$42=0,0,AVERAGE($FL30:$FL41)*256/10^9/$NC$42))</f>
        <v/>
      </c>
      <c r="RU42" s="150"/>
      <c r="RV42" s="150"/>
      <c r="RW42" s="150"/>
      <c r="RX42" s="150"/>
      <c r="RY42" s="150"/>
      <c r="RZ42" s="150"/>
      <c r="SA42" s="150"/>
      <c r="SB42" s="150"/>
      <c r="SC42" s="150"/>
      <c r="SD42" s="150"/>
      <c r="SE42" s="150"/>
      <c r="SF42" s="150"/>
      <c r="SG42" s="150"/>
      <c r="SH42" s="150"/>
      <c r="SI42" s="150"/>
      <c r="SJ42" s="150"/>
      <c r="SK42" s="150"/>
      <c r="SL42" s="150"/>
      <c r="SM42" s="150"/>
      <c r="SN42" s="150"/>
      <c r="SO42" s="150"/>
      <c r="SP42" s="150"/>
      <c r="SQ42" s="150"/>
      <c r="SR42" s="150"/>
      <c r="SS42" s="150"/>
      <c r="ST42" s="150"/>
      <c r="SU42" s="150"/>
      <c r="SV42" s="150"/>
      <c r="SW42" s="150"/>
      <c r="SX42" s="150"/>
      <c r="SY42" s="150"/>
      <c r="SZ42" s="150"/>
      <c r="TA42" s="150"/>
      <c r="TB42" s="150"/>
      <c r="TC42" s="150"/>
      <c r="TD42" s="150"/>
      <c r="TE42" s="150"/>
      <c r="TF42" s="150"/>
      <c r="TG42" s="150"/>
      <c r="TQ42" s="455"/>
      <c r="TR42" s="455"/>
      <c r="TS42" s="456"/>
      <c r="TT42" s="456"/>
      <c r="TU42" s="456"/>
      <c r="TV42" s="456"/>
      <c r="TW42" s="456"/>
      <c r="TX42" s="456"/>
      <c r="TY42" s="456"/>
      <c r="TZ42" s="456"/>
      <c r="UA42" s="456"/>
      <c r="UB42" s="287" t="s">
        <v>468</v>
      </c>
      <c r="UC42" s="457"/>
      <c r="UD42" s="457"/>
      <c r="UE42" s="456"/>
      <c r="UF42" s="458"/>
      <c r="UG42" s="456"/>
      <c r="UH42" s="456"/>
      <c r="UI42" s="456"/>
      <c r="UJ42" s="456"/>
      <c r="UK42" s="456"/>
      <c r="UL42" s="456"/>
      <c r="UM42" s="456"/>
      <c r="UN42" s="456"/>
      <c r="UO42" s="456"/>
      <c r="UP42" s="456"/>
      <c r="UQ42" s="456"/>
      <c r="UR42" s="456"/>
      <c r="US42" s="456"/>
      <c r="UT42" s="456"/>
      <c r="UU42" s="456"/>
      <c r="UV42" s="456"/>
      <c r="UW42" s="456"/>
      <c r="UX42" s="456"/>
      <c r="UY42" s="287" t="s">
        <v>468</v>
      </c>
      <c r="UZ42" s="287"/>
      <c r="VA42" s="461"/>
    </row>
    <row r="43" spans="28:617" x14ac:dyDescent="0.25">
      <c r="MC43" s="284" t="s">
        <v>1196</v>
      </c>
      <c r="MD43" s="417"/>
      <c r="ME43" s="418"/>
      <c r="MF43" s="418"/>
      <c r="MG43" s="418"/>
      <c r="MH43" s="418"/>
      <c r="MI43" s="418"/>
      <c r="MJ43" s="418"/>
      <c r="MK43" s="418"/>
      <c r="ML43" s="418"/>
      <c r="MM43" s="418"/>
      <c r="MN43" s="418"/>
      <c r="MO43" s="418"/>
      <c r="MP43" s="418"/>
      <c r="MQ43" s="418"/>
      <c r="MR43" s="418"/>
      <c r="MS43" s="418"/>
      <c r="MT43" s="419"/>
      <c r="NG43" s="263"/>
      <c r="NH43" s="262"/>
      <c r="NI43" s="262"/>
      <c r="NJ43" s="262"/>
      <c r="NK43" s="262"/>
      <c r="NL43" s="262"/>
      <c r="NM43" s="262"/>
      <c r="NN43" s="262"/>
      <c r="NO43" s="262"/>
      <c r="NP43" s="262"/>
      <c r="NQ43" s="262"/>
      <c r="NR43" s="262"/>
      <c r="NS43" s="262"/>
      <c r="NT43" s="262"/>
      <c r="NU43" s="262"/>
      <c r="NV43" s="262"/>
      <c r="NW43" s="262"/>
      <c r="NX43" s="262"/>
      <c r="NY43" s="262"/>
      <c r="NZ43" s="262"/>
      <c r="OA43" s="262"/>
      <c r="OB43" s="262"/>
      <c r="OC43" s="262"/>
      <c r="OD43" s="262"/>
      <c r="OE43" s="262"/>
      <c r="OF43" s="262"/>
      <c r="OG43" s="262"/>
      <c r="OH43" s="262"/>
      <c r="OI43" s="262"/>
      <c r="OO43" s="262"/>
      <c r="OP43" s="262"/>
      <c r="OQ43" s="262"/>
      <c r="OR43" s="262"/>
      <c r="OS43" s="262"/>
      <c r="OT43" s="262"/>
      <c r="OU43" s="264"/>
      <c r="OV43" s="264"/>
      <c r="OW43" s="264"/>
      <c r="OX43" s="262"/>
      <c r="OY43" s="265"/>
      <c r="OZ43" s="262"/>
      <c r="PA43" s="262"/>
      <c r="PB43" s="262"/>
      <c r="PC43" s="262"/>
      <c r="PD43" s="262"/>
      <c r="PE43" s="262"/>
      <c r="PF43" s="262"/>
      <c r="PG43" s="262"/>
      <c r="PH43" s="262"/>
      <c r="PI43" s="262"/>
      <c r="PJ43" s="262"/>
      <c r="PK43" s="263"/>
      <c r="PL43" s="859" t="str">
        <f>IF(COUNT(PL42:PY42)=0,"",SUM(PL42:PY42))</f>
        <v/>
      </c>
      <c r="PM43" s="860"/>
      <c r="PN43" s="860"/>
      <c r="PO43" s="860"/>
      <c r="PP43" s="860"/>
      <c r="PQ43" s="861"/>
      <c r="PR43" s="860"/>
      <c r="PS43" s="861"/>
      <c r="PT43" s="860"/>
      <c r="PU43" s="860"/>
      <c r="PV43" s="860"/>
      <c r="PW43" s="861"/>
      <c r="PX43" s="860"/>
      <c r="PY43" s="862"/>
      <c r="PZ43" s="863" t="str">
        <f>IF(COUNT(PZ42:QB42)=0,"",SUM(PZ42:QB42))</f>
        <v/>
      </c>
      <c r="QA43" s="861"/>
      <c r="QB43" s="864"/>
      <c r="QC43" s="266" t="str">
        <f>IF(COUNT(QC42)=0,"",SUM(QC42))</f>
        <v/>
      </c>
      <c r="QD43" s="859" t="str">
        <f>IF(COUNT(QD42:QF42)=0,"",SUM(QD42:QF42))</f>
        <v/>
      </c>
      <c r="QE43" s="860"/>
      <c r="QF43" s="862"/>
      <c r="QG43" s="859" t="str">
        <f>IF(COUNT(QG42:QH42)=0,"",SUM(QG42:QH42))</f>
        <v/>
      </c>
      <c r="QH43" s="862"/>
      <c r="QI43" s="266" t="str">
        <f>IF(COUNT(QI42)=0,"",SUM(QI42))</f>
        <v/>
      </c>
      <c r="QJ43" s="266" t="str">
        <f>IF(COUNT(QJ42)=0,"",SUM(QJ42))</f>
        <v/>
      </c>
      <c r="QK43" s="266" t="str">
        <f>IF(COUNT(QK42)=0,"",SUM(QK42))</f>
        <v/>
      </c>
      <c r="QL43" s="266" t="str">
        <f>IF(COUNT(QL42)=0,"",SUM(QL42))</f>
        <v/>
      </c>
      <c r="QM43" s="266" t="str">
        <f>IF(COUNT(QM42)=0,"",SUM(QM42))</f>
        <v/>
      </c>
      <c r="QN43" s="266" t="str">
        <f>IF(COUNT(PL43:QM43)=0,"",SUM(PL43:QM43))</f>
        <v/>
      </c>
      <c r="QO43" s="262"/>
      <c r="QP43" s="262"/>
      <c r="QQ43" s="262"/>
      <c r="QR43" s="262"/>
      <c r="QS43" s="867" t="str">
        <f>IF(COUNT(QS42:QT42)=0,"",SUM(QS42:QT42))</f>
        <v/>
      </c>
      <c r="QT43" s="860"/>
      <c r="QU43" s="862"/>
      <c r="QV43" s="266" t="str">
        <f>IF(COUNT(QV42)=0,"",SUM(QV42))</f>
        <v/>
      </c>
      <c r="QW43" s="865" t="str">
        <f>IF(COUNT(QW42:$QX42)=0,"",SUM(QW42:$QX42))</f>
        <v/>
      </c>
      <c r="QX43" s="866"/>
      <c r="QY43" s="266" t="str">
        <f>IF(COUNT(QY42)=0,"",SUM(QY42))</f>
        <v/>
      </c>
      <c r="QZ43" s="266" t="str">
        <f>IF(COUNT(QZ42)=0,"",SUM(QZ42))</f>
        <v/>
      </c>
      <c r="RA43" s="257" t="str">
        <f>IF(COUNT(RA42)=0,"",SUM(RA42))</f>
        <v/>
      </c>
      <c r="RB43" s="257" t="str">
        <f>IF(COUNT(RB42)=0,"",SUM(RB42))</f>
        <v/>
      </c>
      <c r="RC43" s="150"/>
      <c r="RD43" s="150"/>
      <c r="RE43" s="150"/>
      <c r="RF43" s="150"/>
      <c r="RG43" s="150"/>
      <c r="RH43" s="150"/>
      <c r="RI43" s="150"/>
      <c r="RJ43" s="150"/>
      <c r="RK43" s="150"/>
      <c r="RL43" s="150"/>
      <c r="RM43" s="150"/>
      <c r="RN43" s="150"/>
      <c r="RO43" s="150"/>
      <c r="RP43" s="150"/>
      <c r="RQ43" s="150"/>
      <c r="RR43" s="150"/>
      <c r="RS43" s="150"/>
      <c r="RT43" s="150"/>
      <c r="RU43" s="150"/>
      <c r="RV43" s="150"/>
      <c r="RW43" s="150"/>
      <c r="RX43" s="150"/>
      <c r="RY43" s="150"/>
      <c r="RZ43" s="150"/>
      <c r="SA43" s="150"/>
      <c r="SB43" s="150"/>
      <c r="SC43" s="150"/>
      <c r="SD43" s="150"/>
      <c r="SE43" s="150"/>
      <c r="SF43" s="150"/>
      <c r="SG43" s="150"/>
      <c r="SH43" s="150"/>
      <c r="SI43" s="150"/>
      <c r="SJ43" s="150"/>
      <c r="SK43" s="150"/>
      <c r="SL43" s="150"/>
      <c r="SM43" s="150"/>
      <c r="SN43" s="150"/>
      <c r="SO43" s="150"/>
      <c r="SP43" s="150"/>
      <c r="SQ43" s="150"/>
      <c r="SR43" s="150"/>
      <c r="SS43" s="150"/>
      <c r="ST43" s="150"/>
      <c r="SU43" s="150"/>
      <c r="SV43" s="150"/>
      <c r="SW43" s="150"/>
      <c r="SX43" s="150"/>
      <c r="SY43" s="150"/>
      <c r="SZ43" s="150"/>
      <c r="TA43" s="150"/>
      <c r="TB43" s="150"/>
      <c r="TC43" s="150"/>
      <c r="TD43" s="150"/>
      <c r="TE43" s="150"/>
      <c r="TF43" s="150"/>
      <c r="TG43" s="150"/>
      <c r="TQ43" s="459" t="str">
        <f>IF($NA30="","","Process" &amp; CHAR(10) &amp; $NA30)</f>
        <v/>
      </c>
      <c r="TR43" s="459" t="str">
        <f t="shared" ref="TR43:TR54" si="165">IF($NB30="","","Thread " &amp; $NB30)</f>
        <v/>
      </c>
      <c r="TS43" s="460" t="str">
        <f t="shared" ref="TS43:TS54" si="166">NO30</f>
        <v/>
      </c>
      <c r="TT43" s="460" t="str">
        <f t="shared" ref="TT43:TT54" si="167">NU30</f>
        <v/>
      </c>
      <c r="TU43" s="460" t="str">
        <f t="shared" ref="TU43:TU54" si="168">NX30</f>
        <v/>
      </c>
      <c r="TV43" s="460" t="str">
        <f t="shared" ref="TV43:TV54" si="169">NZ30</f>
        <v/>
      </c>
      <c r="TW43" s="460" t="str">
        <f t="shared" ref="TW43:TW54" si="170">OA30</f>
        <v/>
      </c>
      <c r="TX43" s="460" t="str">
        <f>OB30</f>
        <v/>
      </c>
      <c r="TY43" s="460" t="str">
        <f t="shared" ref="TY43:TY54" si="171">OC30</f>
        <v/>
      </c>
      <c r="TZ43" s="460" t="str">
        <f t="shared" ref="TZ43:TZ54" si="172">OD30</f>
        <v/>
      </c>
      <c r="UA43" s="460" t="str">
        <f t="shared" ref="UA43:UA54" si="173">OH30</f>
        <v/>
      </c>
      <c r="UB43" s="287" t="s">
        <v>469</v>
      </c>
      <c r="UC43" s="459" t="str">
        <f>IF($NA30="","","Process" &amp; CHAR(10) &amp; $NA30)</f>
        <v/>
      </c>
      <c r="UD43" s="459" t="str">
        <f t="shared" ref="UD43:UD54" si="174">IF($NB30="","","Thread " &amp; $NB30)</f>
        <v/>
      </c>
      <c r="UE43" s="460" t="str">
        <f t="shared" ref="UE43:UE54" si="175">NO30</f>
        <v/>
      </c>
      <c r="UF43" s="460" t="str">
        <f t="shared" ref="UF43:UF54" si="176">NP30</f>
        <v/>
      </c>
      <c r="UG43" s="460" t="str">
        <f t="shared" ref="UG43:UG54" si="177">NQ30</f>
        <v/>
      </c>
      <c r="UH43" s="460" t="str">
        <f t="shared" ref="UH43:UH54" si="178">NR30</f>
        <v/>
      </c>
      <c r="UI43" s="460" t="str">
        <f t="shared" ref="UI43:UI54" si="179">NS30</f>
        <v/>
      </c>
      <c r="UJ43" s="460" t="str">
        <f t="shared" ref="UJ43:UJ54" si="180">NT30</f>
        <v/>
      </c>
      <c r="UK43" s="460" t="str">
        <f t="shared" ref="UK43:UK54" si="181">NU30</f>
        <v/>
      </c>
      <c r="UL43" s="460" t="str">
        <f t="shared" ref="UL43:UL54" si="182">NV30</f>
        <v/>
      </c>
      <c r="UM43" s="460" t="str">
        <f t="shared" ref="UM43:UM54" si="183">NW30</f>
        <v/>
      </c>
      <c r="UN43" s="460" t="str">
        <f t="shared" ref="UN43:UN54" si="184">NX30</f>
        <v/>
      </c>
      <c r="UO43" s="460" t="str">
        <f t="shared" ref="UO43:UO54" si="185">NY30</f>
        <v/>
      </c>
      <c r="UP43" s="460" t="str">
        <f t="shared" ref="UP43:UP54" si="186">NZ30</f>
        <v/>
      </c>
      <c r="UQ43" s="460" t="str">
        <f t="shared" ref="UQ43:UQ54" si="187">OA30</f>
        <v/>
      </c>
      <c r="UR43" s="460" t="str">
        <f t="shared" ref="UR43:UR54" si="188">OB30</f>
        <v/>
      </c>
      <c r="US43" s="460" t="str">
        <f t="shared" ref="US43:US54" si="189">OC30</f>
        <v/>
      </c>
      <c r="UT43" s="460" t="str">
        <f t="shared" ref="UT43:UT54" si="190">OD30</f>
        <v/>
      </c>
      <c r="UU43" s="460" t="str">
        <f t="shared" ref="UU43:UU54" si="191">OE30</f>
        <v/>
      </c>
      <c r="UV43" s="460" t="str">
        <f t="shared" ref="UV43:UV54" si="192">OF30</f>
        <v/>
      </c>
      <c r="UW43" s="460" t="str">
        <f t="shared" ref="UW43:UW54" si="193">OG30</f>
        <v/>
      </c>
      <c r="UX43" s="460" t="str">
        <f t="shared" ref="UX43:UX54" si="194">OH30</f>
        <v/>
      </c>
      <c r="UY43" s="287" t="s">
        <v>469</v>
      </c>
      <c r="VA43" s="461"/>
    </row>
    <row r="44" spans="28:617" x14ac:dyDescent="0.15">
      <c r="MC44" s="284" t="s">
        <v>1197</v>
      </c>
      <c r="MD44" s="417"/>
      <c r="ME44" s="418"/>
      <c r="MF44" s="418"/>
      <c r="MG44" s="418"/>
      <c r="MH44" s="418"/>
      <c r="MI44" s="418"/>
      <c r="MJ44" s="418"/>
      <c r="MK44" s="418"/>
      <c r="ML44" s="418"/>
      <c r="MM44" s="418"/>
      <c r="MN44" s="418"/>
      <c r="MO44" s="418"/>
      <c r="MP44" s="418"/>
      <c r="MQ44" s="418"/>
      <c r="MR44" s="418"/>
      <c r="MS44" s="418"/>
      <c r="MT44" s="419"/>
      <c r="NQ44" s="462"/>
      <c r="TQ44" s="459" t="str">
        <f t="shared" ref="TQ44:TQ54" si="195">IF($NA31="","",IF($NA31=$NA30,"","Process" &amp; CHAR(10) &amp; $NA31))</f>
        <v/>
      </c>
      <c r="TR44" s="459" t="str">
        <f t="shared" si="165"/>
        <v/>
      </c>
      <c r="TS44" s="460" t="str">
        <f t="shared" si="166"/>
        <v/>
      </c>
      <c r="TT44" s="460" t="str">
        <f t="shared" si="167"/>
        <v/>
      </c>
      <c r="TU44" s="460" t="str">
        <f t="shared" si="168"/>
        <v/>
      </c>
      <c r="TV44" s="460" t="str">
        <f t="shared" si="169"/>
        <v/>
      </c>
      <c r="TW44" s="460" t="str">
        <f t="shared" si="170"/>
        <v/>
      </c>
      <c r="TX44" s="460" t="str">
        <f t="shared" ref="TX44:TX54" si="196">OB31</f>
        <v/>
      </c>
      <c r="TY44" s="460" t="str">
        <f t="shared" si="171"/>
        <v/>
      </c>
      <c r="TZ44" s="460" t="str">
        <f t="shared" si="172"/>
        <v/>
      </c>
      <c r="UA44" s="460" t="str">
        <f t="shared" si="173"/>
        <v/>
      </c>
      <c r="UC44" s="459" t="str">
        <f t="shared" ref="UC44:UC54" si="197">IF($NA31="","",IF($NA31=$NA30,"","Process" &amp; CHAR(10) &amp; $NA31))</f>
        <v/>
      </c>
      <c r="UD44" s="459" t="str">
        <f t="shared" si="174"/>
        <v/>
      </c>
      <c r="UE44" s="460" t="str">
        <f t="shared" si="175"/>
        <v/>
      </c>
      <c r="UF44" s="460" t="str">
        <f t="shared" si="176"/>
        <v/>
      </c>
      <c r="UG44" s="460" t="str">
        <f t="shared" si="177"/>
        <v/>
      </c>
      <c r="UH44" s="460" t="str">
        <f t="shared" si="178"/>
        <v/>
      </c>
      <c r="UI44" s="460" t="str">
        <f t="shared" si="179"/>
        <v/>
      </c>
      <c r="UJ44" s="460" t="str">
        <f t="shared" si="180"/>
        <v/>
      </c>
      <c r="UK44" s="460" t="str">
        <f t="shared" si="181"/>
        <v/>
      </c>
      <c r="UL44" s="460" t="str">
        <f t="shared" si="182"/>
        <v/>
      </c>
      <c r="UM44" s="460" t="str">
        <f t="shared" si="183"/>
        <v/>
      </c>
      <c r="UN44" s="460" t="str">
        <f t="shared" si="184"/>
        <v/>
      </c>
      <c r="UO44" s="460" t="str">
        <f t="shared" si="185"/>
        <v/>
      </c>
      <c r="UP44" s="460" t="str">
        <f t="shared" si="186"/>
        <v/>
      </c>
      <c r="UQ44" s="460" t="str">
        <f t="shared" si="187"/>
        <v/>
      </c>
      <c r="UR44" s="460" t="str">
        <f t="shared" si="188"/>
        <v/>
      </c>
      <c r="US44" s="460" t="str">
        <f t="shared" si="189"/>
        <v/>
      </c>
      <c r="UT44" s="460" t="str">
        <f t="shared" si="190"/>
        <v/>
      </c>
      <c r="UU44" s="460" t="str">
        <f t="shared" si="191"/>
        <v/>
      </c>
      <c r="UV44" s="460" t="str">
        <f t="shared" si="192"/>
        <v/>
      </c>
      <c r="UW44" s="460" t="str">
        <f t="shared" si="193"/>
        <v/>
      </c>
      <c r="UX44" s="460" t="str">
        <f t="shared" si="194"/>
        <v/>
      </c>
      <c r="VA44" s="461"/>
    </row>
    <row r="45" spans="28:617" ht="15.75" customHeight="1" thickBot="1" x14ac:dyDescent="0.2">
      <c r="MC45" s="284" t="s">
        <v>1198</v>
      </c>
      <c r="MD45" s="463"/>
      <c r="ME45" s="464"/>
      <c r="MF45" s="464"/>
      <c r="MG45" s="464"/>
      <c r="MH45" s="464"/>
      <c r="MI45" s="464"/>
      <c r="MJ45" s="464"/>
      <c r="MK45" s="464"/>
      <c r="ML45" s="464"/>
      <c r="MM45" s="464"/>
      <c r="MN45" s="464"/>
      <c r="MO45" s="464"/>
      <c r="MP45" s="464"/>
      <c r="MQ45" s="464"/>
      <c r="MR45" s="464"/>
      <c r="MS45" s="464"/>
      <c r="MT45" s="465"/>
      <c r="TQ45" s="459" t="str">
        <f t="shared" si="195"/>
        <v/>
      </c>
      <c r="TR45" s="459" t="str">
        <f t="shared" si="165"/>
        <v/>
      </c>
      <c r="TS45" s="460" t="str">
        <f t="shared" si="166"/>
        <v/>
      </c>
      <c r="TT45" s="460" t="str">
        <f t="shared" si="167"/>
        <v/>
      </c>
      <c r="TU45" s="460" t="str">
        <f t="shared" si="168"/>
        <v/>
      </c>
      <c r="TV45" s="460" t="str">
        <f t="shared" si="169"/>
        <v/>
      </c>
      <c r="TW45" s="460" t="str">
        <f t="shared" si="170"/>
        <v/>
      </c>
      <c r="TX45" s="460" t="str">
        <f t="shared" si="196"/>
        <v/>
      </c>
      <c r="TY45" s="460" t="str">
        <f t="shared" si="171"/>
        <v/>
      </c>
      <c r="TZ45" s="460" t="str">
        <f t="shared" si="172"/>
        <v/>
      </c>
      <c r="UA45" s="460" t="str">
        <f t="shared" si="173"/>
        <v/>
      </c>
      <c r="UC45" s="459" t="str">
        <f t="shared" si="197"/>
        <v/>
      </c>
      <c r="UD45" s="459" t="str">
        <f t="shared" si="174"/>
        <v/>
      </c>
      <c r="UE45" s="460" t="str">
        <f t="shared" si="175"/>
        <v/>
      </c>
      <c r="UF45" s="460" t="str">
        <f t="shared" si="176"/>
        <v/>
      </c>
      <c r="UG45" s="460" t="str">
        <f t="shared" si="177"/>
        <v/>
      </c>
      <c r="UH45" s="460" t="str">
        <f t="shared" si="178"/>
        <v/>
      </c>
      <c r="UI45" s="460" t="str">
        <f t="shared" si="179"/>
        <v/>
      </c>
      <c r="UJ45" s="460" t="str">
        <f t="shared" si="180"/>
        <v/>
      </c>
      <c r="UK45" s="460" t="str">
        <f t="shared" si="181"/>
        <v/>
      </c>
      <c r="UL45" s="460" t="str">
        <f t="shared" si="182"/>
        <v/>
      </c>
      <c r="UM45" s="460" t="str">
        <f t="shared" si="183"/>
        <v/>
      </c>
      <c r="UN45" s="460" t="str">
        <f t="shared" si="184"/>
        <v/>
      </c>
      <c r="UO45" s="460" t="str">
        <f t="shared" si="185"/>
        <v/>
      </c>
      <c r="UP45" s="460" t="str">
        <f t="shared" si="186"/>
        <v/>
      </c>
      <c r="UQ45" s="460" t="str">
        <f t="shared" si="187"/>
        <v/>
      </c>
      <c r="UR45" s="460" t="str">
        <f t="shared" si="188"/>
        <v/>
      </c>
      <c r="US45" s="460" t="str">
        <f t="shared" si="189"/>
        <v/>
      </c>
      <c r="UT45" s="460" t="str">
        <f t="shared" si="190"/>
        <v/>
      </c>
      <c r="UU45" s="460" t="str">
        <f t="shared" si="191"/>
        <v/>
      </c>
      <c r="UV45" s="460" t="str">
        <f t="shared" si="192"/>
        <v/>
      </c>
      <c r="UW45" s="460" t="str">
        <f t="shared" si="193"/>
        <v/>
      </c>
      <c r="UX45" s="460" t="str">
        <f t="shared" si="194"/>
        <v/>
      </c>
      <c r="VA45" s="461"/>
    </row>
    <row r="46" spans="28:617" ht="15.75" customHeight="1" x14ac:dyDescent="0.15">
      <c r="TQ46" s="459" t="str">
        <f t="shared" si="195"/>
        <v/>
      </c>
      <c r="TR46" s="459" t="str">
        <f t="shared" si="165"/>
        <v/>
      </c>
      <c r="TS46" s="460" t="str">
        <f t="shared" si="166"/>
        <v/>
      </c>
      <c r="TT46" s="460" t="str">
        <f t="shared" si="167"/>
        <v/>
      </c>
      <c r="TU46" s="460" t="str">
        <f t="shared" si="168"/>
        <v/>
      </c>
      <c r="TV46" s="460" t="str">
        <f t="shared" si="169"/>
        <v/>
      </c>
      <c r="TW46" s="460" t="str">
        <f t="shared" si="170"/>
        <v/>
      </c>
      <c r="TX46" s="460" t="str">
        <f t="shared" si="196"/>
        <v/>
      </c>
      <c r="TY46" s="460" t="str">
        <f t="shared" si="171"/>
        <v/>
      </c>
      <c r="TZ46" s="460" t="str">
        <f t="shared" si="172"/>
        <v/>
      </c>
      <c r="UA46" s="460" t="str">
        <f t="shared" si="173"/>
        <v/>
      </c>
      <c r="UC46" s="459" t="str">
        <f t="shared" si="197"/>
        <v/>
      </c>
      <c r="UD46" s="459" t="str">
        <f t="shared" si="174"/>
        <v/>
      </c>
      <c r="UE46" s="460" t="str">
        <f t="shared" si="175"/>
        <v/>
      </c>
      <c r="UF46" s="460" t="str">
        <f t="shared" si="176"/>
        <v/>
      </c>
      <c r="UG46" s="460" t="str">
        <f t="shared" si="177"/>
        <v/>
      </c>
      <c r="UH46" s="460" t="str">
        <f t="shared" si="178"/>
        <v/>
      </c>
      <c r="UI46" s="460" t="str">
        <f t="shared" si="179"/>
        <v/>
      </c>
      <c r="UJ46" s="460" t="str">
        <f t="shared" si="180"/>
        <v/>
      </c>
      <c r="UK46" s="460" t="str">
        <f t="shared" si="181"/>
        <v/>
      </c>
      <c r="UL46" s="460" t="str">
        <f t="shared" si="182"/>
        <v/>
      </c>
      <c r="UM46" s="460" t="str">
        <f t="shared" si="183"/>
        <v/>
      </c>
      <c r="UN46" s="460" t="str">
        <f t="shared" si="184"/>
        <v/>
      </c>
      <c r="UO46" s="460" t="str">
        <f t="shared" si="185"/>
        <v/>
      </c>
      <c r="UP46" s="460" t="str">
        <f t="shared" si="186"/>
        <v/>
      </c>
      <c r="UQ46" s="460" t="str">
        <f t="shared" si="187"/>
        <v/>
      </c>
      <c r="UR46" s="460" t="str">
        <f t="shared" si="188"/>
        <v/>
      </c>
      <c r="US46" s="460" t="str">
        <f t="shared" si="189"/>
        <v/>
      </c>
      <c r="UT46" s="460" t="str">
        <f t="shared" si="190"/>
        <v/>
      </c>
      <c r="UU46" s="460" t="str">
        <f t="shared" si="191"/>
        <v/>
      </c>
      <c r="UV46" s="460" t="str">
        <f t="shared" si="192"/>
        <v/>
      </c>
      <c r="UW46" s="460" t="str">
        <f t="shared" si="193"/>
        <v/>
      </c>
      <c r="UX46" s="460" t="str">
        <f t="shared" si="194"/>
        <v/>
      </c>
    </row>
    <row r="47" spans="28:617" ht="15.75" customHeight="1" x14ac:dyDescent="0.15">
      <c r="TQ47" s="459" t="str">
        <f t="shared" si="195"/>
        <v/>
      </c>
      <c r="TR47" s="459" t="str">
        <f t="shared" si="165"/>
        <v/>
      </c>
      <c r="TS47" s="460" t="str">
        <f t="shared" si="166"/>
        <v/>
      </c>
      <c r="TT47" s="460" t="str">
        <f t="shared" si="167"/>
        <v/>
      </c>
      <c r="TU47" s="460" t="str">
        <f t="shared" si="168"/>
        <v/>
      </c>
      <c r="TV47" s="460" t="str">
        <f t="shared" si="169"/>
        <v/>
      </c>
      <c r="TW47" s="460" t="str">
        <f t="shared" si="170"/>
        <v/>
      </c>
      <c r="TX47" s="460" t="str">
        <f t="shared" si="196"/>
        <v/>
      </c>
      <c r="TY47" s="460" t="str">
        <f t="shared" si="171"/>
        <v/>
      </c>
      <c r="TZ47" s="460" t="str">
        <f t="shared" si="172"/>
        <v/>
      </c>
      <c r="UA47" s="460" t="str">
        <f t="shared" si="173"/>
        <v/>
      </c>
      <c r="UC47" s="459" t="str">
        <f t="shared" si="197"/>
        <v/>
      </c>
      <c r="UD47" s="459" t="str">
        <f t="shared" si="174"/>
        <v/>
      </c>
      <c r="UE47" s="460" t="str">
        <f t="shared" si="175"/>
        <v/>
      </c>
      <c r="UF47" s="460" t="str">
        <f t="shared" si="176"/>
        <v/>
      </c>
      <c r="UG47" s="460" t="str">
        <f t="shared" si="177"/>
        <v/>
      </c>
      <c r="UH47" s="460" t="str">
        <f t="shared" si="178"/>
        <v/>
      </c>
      <c r="UI47" s="460" t="str">
        <f t="shared" si="179"/>
        <v/>
      </c>
      <c r="UJ47" s="460" t="str">
        <f t="shared" si="180"/>
        <v/>
      </c>
      <c r="UK47" s="460" t="str">
        <f t="shared" si="181"/>
        <v/>
      </c>
      <c r="UL47" s="460" t="str">
        <f t="shared" si="182"/>
        <v/>
      </c>
      <c r="UM47" s="460" t="str">
        <f t="shared" si="183"/>
        <v/>
      </c>
      <c r="UN47" s="460" t="str">
        <f t="shared" si="184"/>
        <v/>
      </c>
      <c r="UO47" s="460" t="str">
        <f t="shared" si="185"/>
        <v/>
      </c>
      <c r="UP47" s="460" t="str">
        <f t="shared" si="186"/>
        <v/>
      </c>
      <c r="UQ47" s="460" t="str">
        <f t="shared" si="187"/>
        <v/>
      </c>
      <c r="UR47" s="460" t="str">
        <f t="shared" si="188"/>
        <v/>
      </c>
      <c r="US47" s="460" t="str">
        <f t="shared" si="189"/>
        <v/>
      </c>
      <c r="UT47" s="460" t="str">
        <f t="shared" si="190"/>
        <v/>
      </c>
      <c r="UU47" s="460" t="str">
        <f t="shared" si="191"/>
        <v/>
      </c>
      <c r="UV47" s="460" t="str">
        <f t="shared" si="192"/>
        <v/>
      </c>
      <c r="UW47" s="460" t="str">
        <f t="shared" si="193"/>
        <v/>
      </c>
      <c r="UX47" s="460" t="str">
        <f t="shared" si="194"/>
        <v/>
      </c>
    </row>
    <row r="48" spans="28:617" ht="15.75" customHeight="1" x14ac:dyDescent="0.15">
      <c r="TQ48" s="459" t="str">
        <f t="shared" si="195"/>
        <v/>
      </c>
      <c r="TR48" s="459" t="str">
        <f t="shared" si="165"/>
        <v/>
      </c>
      <c r="TS48" s="460" t="str">
        <f t="shared" si="166"/>
        <v/>
      </c>
      <c r="TT48" s="460" t="str">
        <f t="shared" si="167"/>
        <v/>
      </c>
      <c r="TU48" s="460" t="str">
        <f t="shared" si="168"/>
        <v/>
      </c>
      <c r="TV48" s="460" t="str">
        <f t="shared" si="169"/>
        <v/>
      </c>
      <c r="TW48" s="460" t="str">
        <f t="shared" si="170"/>
        <v/>
      </c>
      <c r="TX48" s="460" t="str">
        <f t="shared" si="196"/>
        <v/>
      </c>
      <c r="TY48" s="460" t="str">
        <f t="shared" si="171"/>
        <v/>
      </c>
      <c r="TZ48" s="460" t="str">
        <f t="shared" si="172"/>
        <v/>
      </c>
      <c r="UA48" s="460" t="str">
        <f t="shared" si="173"/>
        <v/>
      </c>
      <c r="UC48" s="459" t="str">
        <f t="shared" si="197"/>
        <v/>
      </c>
      <c r="UD48" s="459" t="str">
        <f t="shared" si="174"/>
        <v/>
      </c>
      <c r="UE48" s="460" t="str">
        <f t="shared" si="175"/>
        <v/>
      </c>
      <c r="UF48" s="460" t="str">
        <f t="shared" si="176"/>
        <v/>
      </c>
      <c r="UG48" s="460" t="str">
        <f t="shared" si="177"/>
        <v/>
      </c>
      <c r="UH48" s="460" t="str">
        <f t="shared" si="178"/>
        <v/>
      </c>
      <c r="UI48" s="460" t="str">
        <f t="shared" si="179"/>
        <v/>
      </c>
      <c r="UJ48" s="460" t="str">
        <f t="shared" si="180"/>
        <v/>
      </c>
      <c r="UK48" s="460" t="str">
        <f t="shared" si="181"/>
        <v/>
      </c>
      <c r="UL48" s="460" t="str">
        <f t="shared" si="182"/>
        <v/>
      </c>
      <c r="UM48" s="460" t="str">
        <f t="shared" si="183"/>
        <v/>
      </c>
      <c r="UN48" s="460" t="str">
        <f t="shared" si="184"/>
        <v/>
      </c>
      <c r="UO48" s="460" t="str">
        <f t="shared" si="185"/>
        <v/>
      </c>
      <c r="UP48" s="460" t="str">
        <f t="shared" si="186"/>
        <v/>
      </c>
      <c r="UQ48" s="460" t="str">
        <f t="shared" si="187"/>
        <v/>
      </c>
      <c r="UR48" s="460" t="str">
        <f t="shared" si="188"/>
        <v/>
      </c>
      <c r="US48" s="460" t="str">
        <f t="shared" si="189"/>
        <v/>
      </c>
      <c r="UT48" s="460" t="str">
        <f t="shared" si="190"/>
        <v/>
      </c>
      <c r="UU48" s="460" t="str">
        <f t="shared" si="191"/>
        <v/>
      </c>
      <c r="UV48" s="460" t="str">
        <f t="shared" si="192"/>
        <v/>
      </c>
      <c r="UW48" s="460" t="str">
        <f t="shared" si="193"/>
        <v/>
      </c>
      <c r="UX48" s="460" t="str">
        <f t="shared" si="194"/>
        <v/>
      </c>
    </row>
    <row r="49" spans="400:583" ht="15.75" customHeight="1" x14ac:dyDescent="0.15">
      <c r="TQ49" s="459" t="str">
        <f t="shared" si="195"/>
        <v/>
      </c>
      <c r="TR49" s="459" t="str">
        <f t="shared" si="165"/>
        <v/>
      </c>
      <c r="TS49" s="460" t="str">
        <f t="shared" si="166"/>
        <v/>
      </c>
      <c r="TT49" s="460" t="str">
        <f t="shared" si="167"/>
        <v/>
      </c>
      <c r="TU49" s="460" t="str">
        <f t="shared" si="168"/>
        <v/>
      </c>
      <c r="TV49" s="460" t="str">
        <f t="shared" si="169"/>
        <v/>
      </c>
      <c r="TW49" s="460" t="str">
        <f t="shared" si="170"/>
        <v/>
      </c>
      <c r="TX49" s="460" t="str">
        <f t="shared" si="196"/>
        <v/>
      </c>
      <c r="TY49" s="460" t="str">
        <f t="shared" si="171"/>
        <v/>
      </c>
      <c r="TZ49" s="460" t="str">
        <f t="shared" si="172"/>
        <v/>
      </c>
      <c r="UA49" s="460" t="str">
        <f t="shared" si="173"/>
        <v/>
      </c>
      <c r="UC49" s="459" t="str">
        <f t="shared" si="197"/>
        <v/>
      </c>
      <c r="UD49" s="459" t="str">
        <f t="shared" si="174"/>
        <v/>
      </c>
      <c r="UE49" s="460" t="str">
        <f t="shared" si="175"/>
        <v/>
      </c>
      <c r="UF49" s="460" t="str">
        <f t="shared" si="176"/>
        <v/>
      </c>
      <c r="UG49" s="460" t="str">
        <f t="shared" si="177"/>
        <v/>
      </c>
      <c r="UH49" s="460" t="str">
        <f t="shared" si="178"/>
        <v/>
      </c>
      <c r="UI49" s="460" t="str">
        <f t="shared" si="179"/>
        <v/>
      </c>
      <c r="UJ49" s="460" t="str">
        <f t="shared" si="180"/>
        <v/>
      </c>
      <c r="UK49" s="460" t="str">
        <f t="shared" si="181"/>
        <v/>
      </c>
      <c r="UL49" s="460" t="str">
        <f t="shared" si="182"/>
        <v/>
      </c>
      <c r="UM49" s="460" t="str">
        <f t="shared" si="183"/>
        <v/>
      </c>
      <c r="UN49" s="460" t="str">
        <f t="shared" si="184"/>
        <v/>
      </c>
      <c r="UO49" s="460" t="str">
        <f t="shared" si="185"/>
        <v/>
      </c>
      <c r="UP49" s="460" t="str">
        <f t="shared" si="186"/>
        <v/>
      </c>
      <c r="UQ49" s="460" t="str">
        <f t="shared" si="187"/>
        <v/>
      </c>
      <c r="UR49" s="460" t="str">
        <f t="shared" si="188"/>
        <v/>
      </c>
      <c r="US49" s="460" t="str">
        <f t="shared" si="189"/>
        <v/>
      </c>
      <c r="UT49" s="460" t="str">
        <f t="shared" si="190"/>
        <v/>
      </c>
      <c r="UU49" s="460" t="str">
        <f t="shared" si="191"/>
        <v/>
      </c>
      <c r="UV49" s="460" t="str">
        <f t="shared" si="192"/>
        <v/>
      </c>
      <c r="UW49" s="460" t="str">
        <f t="shared" si="193"/>
        <v/>
      </c>
      <c r="UX49" s="460" t="str">
        <f t="shared" si="194"/>
        <v/>
      </c>
    </row>
    <row r="50" spans="400:583" ht="15.75" customHeight="1" x14ac:dyDescent="0.15">
      <c r="TQ50" s="459" t="str">
        <f t="shared" si="195"/>
        <v/>
      </c>
      <c r="TR50" s="459" t="str">
        <f t="shared" si="165"/>
        <v/>
      </c>
      <c r="TS50" s="460" t="str">
        <f t="shared" si="166"/>
        <v/>
      </c>
      <c r="TT50" s="460" t="str">
        <f t="shared" si="167"/>
        <v/>
      </c>
      <c r="TU50" s="460" t="str">
        <f t="shared" si="168"/>
        <v/>
      </c>
      <c r="TV50" s="460" t="str">
        <f t="shared" si="169"/>
        <v/>
      </c>
      <c r="TW50" s="460" t="str">
        <f t="shared" si="170"/>
        <v/>
      </c>
      <c r="TX50" s="460" t="str">
        <f t="shared" si="196"/>
        <v/>
      </c>
      <c r="TY50" s="460" t="str">
        <f t="shared" si="171"/>
        <v/>
      </c>
      <c r="TZ50" s="460" t="str">
        <f t="shared" si="172"/>
        <v/>
      </c>
      <c r="UA50" s="460" t="str">
        <f t="shared" si="173"/>
        <v/>
      </c>
      <c r="UC50" s="459" t="str">
        <f t="shared" si="197"/>
        <v/>
      </c>
      <c r="UD50" s="459" t="str">
        <f t="shared" si="174"/>
        <v/>
      </c>
      <c r="UE50" s="460" t="str">
        <f t="shared" si="175"/>
        <v/>
      </c>
      <c r="UF50" s="460" t="str">
        <f t="shared" si="176"/>
        <v/>
      </c>
      <c r="UG50" s="460" t="str">
        <f t="shared" si="177"/>
        <v/>
      </c>
      <c r="UH50" s="460" t="str">
        <f t="shared" si="178"/>
        <v/>
      </c>
      <c r="UI50" s="460" t="str">
        <f t="shared" si="179"/>
        <v/>
      </c>
      <c r="UJ50" s="460" t="str">
        <f t="shared" si="180"/>
        <v/>
      </c>
      <c r="UK50" s="460" t="str">
        <f t="shared" si="181"/>
        <v/>
      </c>
      <c r="UL50" s="460" t="str">
        <f t="shared" si="182"/>
        <v/>
      </c>
      <c r="UM50" s="460" t="str">
        <f t="shared" si="183"/>
        <v/>
      </c>
      <c r="UN50" s="460" t="str">
        <f t="shared" si="184"/>
        <v/>
      </c>
      <c r="UO50" s="460" t="str">
        <f t="shared" si="185"/>
        <v/>
      </c>
      <c r="UP50" s="460" t="str">
        <f t="shared" si="186"/>
        <v/>
      </c>
      <c r="UQ50" s="460" t="str">
        <f t="shared" si="187"/>
        <v/>
      </c>
      <c r="UR50" s="460" t="str">
        <f t="shared" si="188"/>
        <v/>
      </c>
      <c r="US50" s="460" t="str">
        <f t="shared" si="189"/>
        <v/>
      </c>
      <c r="UT50" s="460" t="str">
        <f t="shared" si="190"/>
        <v/>
      </c>
      <c r="UU50" s="460" t="str">
        <f t="shared" si="191"/>
        <v/>
      </c>
      <c r="UV50" s="460" t="str">
        <f t="shared" si="192"/>
        <v/>
      </c>
      <c r="UW50" s="460" t="str">
        <f t="shared" si="193"/>
        <v/>
      </c>
      <c r="UX50" s="460" t="str">
        <f t="shared" si="194"/>
        <v/>
      </c>
    </row>
    <row r="51" spans="400:583" ht="15.75" customHeight="1" x14ac:dyDescent="0.15">
      <c r="TQ51" s="459" t="str">
        <f t="shared" si="195"/>
        <v/>
      </c>
      <c r="TR51" s="459" t="str">
        <f t="shared" si="165"/>
        <v/>
      </c>
      <c r="TS51" s="460" t="str">
        <f t="shared" si="166"/>
        <v/>
      </c>
      <c r="TT51" s="460" t="str">
        <f t="shared" si="167"/>
        <v/>
      </c>
      <c r="TU51" s="460" t="str">
        <f t="shared" si="168"/>
        <v/>
      </c>
      <c r="TV51" s="460" t="str">
        <f t="shared" si="169"/>
        <v/>
      </c>
      <c r="TW51" s="460" t="str">
        <f t="shared" si="170"/>
        <v/>
      </c>
      <c r="TX51" s="460" t="str">
        <f t="shared" si="196"/>
        <v/>
      </c>
      <c r="TY51" s="460" t="str">
        <f t="shared" si="171"/>
        <v/>
      </c>
      <c r="TZ51" s="460" t="str">
        <f t="shared" si="172"/>
        <v/>
      </c>
      <c r="UA51" s="460" t="str">
        <f t="shared" si="173"/>
        <v/>
      </c>
      <c r="UC51" s="459" t="str">
        <f t="shared" si="197"/>
        <v/>
      </c>
      <c r="UD51" s="459" t="str">
        <f t="shared" si="174"/>
        <v/>
      </c>
      <c r="UE51" s="460" t="str">
        <f t="shared" si="175"/>
        <v/>
      </c>
      <c r="UF51" s="460" t="str">
        <f t="shared" si="176"/>
        <v/>
      </c>
      <c r="UG51" s="460" t="str">
        <f t="shared" si="177"/>
        <v/>
      </c>
      <c r="UH51" s="460" t="str">
        <f t="shared" si="178"/>
        <v/>
      </c>
      <c r="UI51" s="460" t="str">
        <f t="shared" si="179"/>
        <v/>
      </c>
      <c r="UJ51" s="460" t="str">
        <f t="shared" si="180"/>
        <v/>
      </c>
      <c r="UK51" s="460" t="str">
        <f t="shared" si="181"/>
        <v/>
      </c>
      <c r="UL51" s="460" t="str">
        <f t="shared" si="182"/>
        <v/>
      </c>
      <c r="UM51" s="460" t="str">
        <f t="shared" si="183"/>
        <v/>
      </c>
      <c r="UN51" s="460" t="str">
        <f t="shared" si="184"/>
        <v/>
      </c>
      <c r="UO51" s="460" t="str">
        <f t="shared" si="185"/>
        <v/>
      </c>
      <c r="UP51" s="460" t="str">
        <f t="shared" si="186"/>
        <v/>
      </c>
      <c r="UQ51" s="460" t="str">
        <f t="shared" si="187"/>
        <v/>
      </c>
      <c r="UR51" s="460" t="str">
        <f t="shared" si="188"/>
        <v/>
      </c>
      <c r="US51" s="460" t="str">
        <f t="shared" si="189"/>
        <v/>
      </c>
      <c r="UT51" s="460" t="str">
        <f t="shared" si="190"/>
        <v/>
      </c>
      <c r="UU51" s="460" t="str">
        <f t="shared" si="191"/>
        <v/>
      </c>
      <c r="UV51" s="460" t="str">
        <f t="shared" si="192"/>
        <v/>
      </c>
      <c r="UW51" s="460" t="str">
        <f t="shared" si="193"/>
        <v/>
      </c>
      <c r="UX51" s="460" t="str">
        <f t="shared" si="194"/>
        <v/>
      </c>
      <c r="VI51" s="2"/>
      <c r="VJ51" s="2"/>
      <c r="VK51" s="2"/>
    </row>
    <row r="52" spans="400:583" ht="15.75" customHeight="1" x14ac:dyDescent="0.15">
      <c r="TQ52" s="459" t="str">
        <f t="shared" si="195"/>
        <v/>
      </c>
      <c r="TR52" s="459" t="str">
        <f t="shared" si="165"/>
        <v/>
      </c>
      <c r="TS52" s="460" t="str">
        <f t="shared" si="166"/>
        <v/>
      </c>
      <c r="TT52" s="460" t="str">
        <f t="shared" si="167"/>
        <v/>
      </c>
      <c r="TU52" s="460" t="str">
        <f t="shared" si="168"/>
        <v/>
      </c>
      <c r="TV52" s="460" t="str">
        <f t="shared" si="169"/>
        <v/>
      </c>
      <c r="TW52" s="460" t="str">
        <f t="shared" si="170"/>
        <v/>
      </c>
      <c r="TX52" s="460" t="str">
        <f t="shared" si="196"/>
        <v/>
      </c>
      <c r="TY52" s="460" t="str">
        <f t="shared" si="171"/>
        <v/>
      </c>
      <c r="TZ52" s="460" t="str">
        <f t="shared" si="172"/>
        <v/>
      </c>
      <c r="UA52" s="460" t="str">
        <f t="shared" si="173"/>
        <v/>
      </c>
      <c r="UC52" s="459" t="str">
        <f t="shared" si="197"/>
        <v/>
      </c>
      <c r="UD52" s="459" t="str">
        <f t="shared" si="174"/>
        <v/>
      </c>
      <c r="UE52" s="460" t="str">
        <f t="shared" si="175"/>
        <v/>
      </c>
      <c r="UF52" s="460" t="str">
        <f t="shared" si="176"/>
        <v/>
      </c>
      <c r="UG52" s="460" t="str">
        <f t="shared" si="177"/>
        <v/>
      </c>
      <c r="UH52" s="460" t="str">
        <f t="shared" si="178"/>
        <v/>
      </c>
      <c r="UI52" s="460" t="str">
        <f t="shared" si="179"/>
        <v/>
      </c>
      <c r="UJ52" s="460" t="str">
        <f t="shared" si="180"/>
        <v/>
      </c>
      <c r="UK52" s="460" t="str">
        <f t="shared" si="181"/>
        <v/>
      </c>
      <c r="UL52" s="460" t="str">
        <f t="shared" si="182"/>
        <v/>
      </c>
      <c r="UM52" s="460" t="str">
        <f t="shared" si="183"/>
        <v/>
      </c>
      <c r="UN52" s="460" t="str">
        <f t="shared" si="184"/>
        <v/>
      </c>
      <c r="UO52" s="460" t="str">
        <f t="shared" si="185"/>
        <v/>
      </c>
      <c r="UP52" s="460" t="str">
        <f t="shared" si="186"/>
        <v/>
      </c>
      <c r="UQ52" s="460" t="str">
        <f t="shared" si="187"/>
        <v/>
      </c>
      <c r="UR52" s="460" t="str">
        <f t="shared" si="188"/>
        <v/>
      </c>
      <c r="US52" s="460" t="str">
        <f t="shared" si="189"/>
        <v/>
      </c>
      <c r="UT52" s="460" t="str">
        <f t="shared" si="190"/>
        <v/>
      </c>
      <c r="UU52" s="460" t="str">
        <f t="shared" si="191"/>
        <v/>
      </c>
      <c r="UV52" s="460" t="str">
        <f t="shared" si="192"/>
        <v/>
      </c>
      <c r="UW52" s="460" t="str">
        <f t="shared" si="193"/>
        <v/>
      </c>
      <c r="UX52" s="460" t="str">
        <f t="shared" si="194"/>
        <v/>
      </c>
      <c r="VI52" s="2"/>
      <c r="VJ52" s="2"/>
      <c r="VK52" s="2"/>
    </row>
    <row r="53" spans="400:583" ht="15.75" customHeight="1" x14ac:dyDescent="0.15">
      <c r="TQ53" s="459" t="str">
        <f t="shared" si="195"/>
        <v/>
      </c>
      <c r="TR53" s="459" t="str">
        <f t="shared" si="165"/>
        <v/>
      </c>
      <c r="TS53" s="460" t="str">
        <f t="shared" si="166"/>
        <v/>
      </c>
      <c r="TT53" s="460" t="str">
        <f t="shared" si="167"/>
        <v/>
      </c>
      <c r="TU53" s="460" t="str">
        <f t="shared" si="168"/>
        <v/>
      </c>
      <c r="TV53" s="460" t="str">
        <f t="shared" si="169"/>
        <v/>
      </c>
      <c r="TW53" s="460" t="str">
        <f t="shared" si="170"/>
        <v/>
      </c>
      <c r="TX53" s="460" t="str">
        <f t="shared" si="196"/>
        <v/>
      </c>
      <c r="TY53" s="460" t="str">
        <f t="shared" si="171"/>
        <v/>
      </c>
      <c r="TZ53" s="460" t="str">
        <f t="shared" si="172"/>
        <v/>
      </c>
      <c r="UA53" s="460" t="str">
        <f t="shared" si="173"/>
        <v/>
      </c>
      <c r="UC53" s="459" t="str">
        <f t="shared" si="197"/>
        <v/>
      </c>
      <c r="UD53" s="459" t="str">
        <f t="shared" si="174"/>
        <v/>
      </c>
      <c r="UE53" s="460" t="str">
        <f t="shared" si="175"/>
        <v/>
      </c>
      <c r="UF53" s="460" t="str">
        <f t="shared" si="176"/>
        <v/>
      </c>
      <c r="UG53" s="460" t="str">
        <f t="shared" si="177"/>
        <v/>
      </c>
      <c r="UH53" s="460" t="str">
        <f t="shared" si="178"/>
        <v/>
      </c>
      <c r="UI53" s="460" t="str">
        <f t="shared" si="179"/>
        <v/>
      </c>
      <c r="UJ53" s="460" t="str">
        <f t="shared" si="180"/>
        <v/>
      </c>
      <c r="UK53" s="460" t="str">
        <f t="shared" si="181"/>
        <v/>
      </c>
      <c r="UL53" s="460" t="str">
        <f t="shared" si="182"/>
        <v/>
      </c>
      <c r="UM53" s="460" t="str">
        <f t="shared" si="183"/>
        <v/>
      </c>
      <c r="UN53" s="460" t="str">
        <f t="shared" si="184"/>
        <v/>
      </c>
      <c r="UO53" s="460" t="str">
        <f t="shared" si="185"/>
        <v/>
      </c>
      <c r="UP53" s="460" t="str">
        <f t="shared" si="186"/>
        <v/>
      </c>
      <c r="UQ53" s="460" t="str">
        <f t="shared" si="187"/>
        <v/>
      </c>
      <c r="UR53" s="460" t="str">
        <f t="shared" si="188"/>
        <v/>
      </c>
      <c r="US53" s="460" t="str">
        <f t="shared" si="189"/>
        <v/>
      </c>
      <c r="UT53" s="460" t="str">
        <f t="shared" si="190"/>
        <v/>
      </c>
      <c r="UU53" s="460" t="str">
        <f t="shared" si="191"/>
        <v/>
      </c>
      <c r="UV53" s="460" t="str">
        <f t="shared" si="192"/>
        <v/>
      </c>
      <c r="UW53" s="460" t="str">
        <f t="shared" si="193"/>
        <v/>
      </c>
      <c r="UX53" s="460" t="str">
        <f t="shared" si="194"/>
        <v/>
      </c>
      <c r="VA53" s="461"/>
      <c r="VI53" s="2"/>
      <c r="VJ53" s="2"/>
      <c r="VK53" s="2"/>
    </row>
    <row r="54" spans="400:583" x14ac:dyDescent="0.25">
      <c r="TK54" s="310"/>
      <c r="TL54" s="466"/>
      <c r="TM54" s="467"/>
      <c r="TN54" s="468"/>
      <c r="TQ54" s="459" t="str">
        <f t="shared" si="195"/>
        <v/>
      </c>
      <c r="TR54" s="459" t="str">
        <f t="shared" si="165"/>
        <v/>
      </c>
      <c r="TS54" s="460" t="str">
        <f t="shared" si="166"/>
        <v/>
      </c>
      <c r="TT54" s="460" t="str">
        <f t="shared" si="167"/>
        <v/>
      </c>
      <c r="TU54" s="460" t="str">
        <f t="shared" si="168"/>
        <v/>
      </c>
      <c r="TV54" s="460" t="str">
        <f t="shared" si="169"/>
        <v/>
      </c>
      <c r="TW54" s="460" t="str">
        <f t="shared" si="170"/>
        <v/>
      </c>
      <c r="TX54" s="460" t="str">
        <f t="shared" si="196"/>
        <v/>
      </c>
      <c r="TY54" s="460" t="str">
        <f t="shared" si="171"/>
        <v/>
      </c>
      <c r="TZ54" s="460" t="str">
        <f t="shared" si="172"/>
        <v/>
      </c>
      <c r="UA54" s="460" t="str">
        <f t="shared" si="173"/>
        <v/>
      </c>
      <c r="UC54" s="459" t="str">
        <f t="shared" si="197"/>
        <v/>
      </c>
      <c r="UD54" s="459" t="str">
        <f t="shared" si="174"/>
        <v/>
      </c>
      <c r="UE54" s="460" t="str">
        <f t="shared" si="175"/>
        <v/>
      </c>
      <c r="UF54" s="460" t="str">
        <f t="shared" si="176"/>
        <v/>
      </c>
      <c r="UG54" s="460" t="str">
        <f t="shared" si="177"/>
        <v/>
      </c>
      <c r="UH54" s="460" t="str">
        <f t="shared" si="178"/>
        <v/>
      </c>
      <c r="UI54" s="460" t="str">
        <f t="shared" si="179"/>
        <v/>
      </c>
      <c r="UJ54" s="460" t="str">
        <f t="shared" si="180"/>
        <v/>
      </c>
      <c r="UK54" s="460" t="str">
        <f t="shared" si="181"/>
        <v/>
      </c>
      <c r="UL54" s="460" t="str">
        <f t="shared" si="182"/>
        <v/>
      </c>
      <c r="UM54" s="460" t="str">
        <f t="shared" si="183"/>
        <v/>
      </c>
      <c r="UN54" s="460" t="str">
        <f t="shared" si="184"/>
        <v/>
      </c>
      <c r="UO54" s="460" t="str">
        <f t="shared" si="185"/>
        <v/>
      </c>
      <c r="UP54" s="460" t="str">
        <f t="shared" si="186"/>
        <v/>
      </c>
      <c r="UQ54" s="460" t="str">
        <f t="shared" si="187"/>
        <v/>
      </c>
      <c r="UR54" s="460" t="str">
        <f t="shared" si="188"/>
        <v/>
      </c>
      <c r="US54" s="460" t="str">
        <f t="shared" si="189"/>
        <v/>
      </c>
      <c r="UT54" s="460" t="str">
        <f t="shared" si="190"/>
        <v/>
      </c>
      <c r="UU54" s="460" t="str">
        <f t="shared" si="191"/>
        <v/>
      </c>
      <c r="UV54" s="460" t="str">
        <f t="shared" si="192"/>
        <v/>
      </c>
      <c r="UW54" s="460" t="str">
        <f t="shared" si="193"/>
        <v/>
      </c>
      <c r="UX54" s="460" t="str">
        <f t="shared" si="194"/>
        <v/>
      </c>
      <c r="VI54" s="2"/>
      <c r="VJ54" s="2"/>
      <c r="VK54" s="2"/>
    </row>
    <row r="55" spans="400:583" x14ac:dyDescent="0.15">
      <c r="VI55" s="2"/>
      <c r="VJ55" s="2"/>
      <c r="VK55" s="2"/>
    </row>
    <row r="56" spans="400:583" x14ac:dyDescent="0.15">
      <c r="TQ56" s="284" t="s">
        <v>1442</v>
      </c>
      <c r="UC56" s="284" t="s">
        <v>1442</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62"/>
      <c r="OK63" s="262"/>
      <c r="OL63" s="262"/>
      <c r="OM63" s="262"/>
      <c r="ON63" s="26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62"/>
      <c r="TV71" s="462"/>
      <c r="TW71" s="462"/>
      <c r="TX71" s="462"/>
      <c r="TY71" s="462"/>
      <c r="VI71" s="2"/>
      <c r="VJ71" s="2"/>
      <c r="VK71" s="2"/>
    </row>
    <row r="72" spans="541:583" x14ac:dyDescent="0.15">
      <c r="TU72" s="462"/>
      <c r="TV72" s="462"/>
      <c r="TW72" s="462"/>
      <c r="TX72" s="462"/>
      <c r="TY72" s="462"/>
      <c r="VI72" s="2"/>
      <c r="VJ72" s="2"/>
      <c r="VK72" s="2"/>
    </row>
    <row r="73" spans="541:583" x14ac:dyDescent="0.15">
      <c r="TU73" s="462"/>
      <c r="TV73" s="462"/>
      <c r="TW73" s="462"/>
      <c r="TX73" s="462"/>
      <c r="TY73" s="462"/>
      <c r="UL73" s="462"/>
      <c r="UM73" s="462"/>
      <c r="UN73" s="462"/>
      <c r="UO73" s="462"/>
      <c r="UP73" s="462"/>
      <c r="UQ73" s="462"/>
      <c r="UR73" s="462"/>
      <c r="VI73" s="2"/>
      <c r="VJ73" s="2"/>
      <c r="VK73" s="2"/>
    </row>
    <row r="74" spans="541:583" x14ac:dyDescent="0.15">
      <c r="TU74" s="462"/>
      <c r="TV74" s="462"/>
      <c r="TW74" s="462"/>
      <c r="TX74" s="462"/>
      <c r="TY74" s="462"/>
      <c r="UL74" s="462"/>
      <c r="UM74" s="462"/>
      <c r="UN74" s="462"/>
      <c r="UO74" s="462"/>
      <c r="UP74" s="462"/>
      <c r="UQ74" s="462"/>
      <c r="UR74" s="462"/>
      <c r="VI74" s="2"/>
      <c r="VJ74" s="2"/>
      <c r="VK74" s="2"/>
    </row>
    <row r="75" spans="541:583" x14ac:dyDescent="0.15">
      <c r="TU75" s="462"/>
      <c r="TV75" s="462"/>
      <c r="TW75" s="462"/>
      <c r="TX75" s="462"/>
      <c r="TY75" s="462"/>
      <c r="UL75" s="462"/>
      <c r="UM75" s="462"/>
      <c r="UN75" s="462"/>
      <c r="UO75" s="462"/>
      <c r="UP75" s="462"/>
      <c r="UQ75" s="462"/>
      <c r="UR75" s="462"/>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CqGAdWlbUzRZ0EtLbpqSHq6PqXZ+vjyyJ6KvBJQcQ5rP8MRzKhDIdJLBXQQZu3jO8gUORLB34CosNQBh26xlWQ==" saltValue="AzJYj0IErRcO/xJEQTWHYg=="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topLeftCell="A55" workbookViewId="0"/>
  </sheetViews>
  <sheetFormatPr defaultColWidth="9" defaultRowHeight="24" x14ac:dyDescent="0.15"/>
  <cols>
    <col min="1" max="1" width="3.375" style="20" customWidth="1"/>
    <col min="2" max="2" width="11.25" style="19" customWidth="1"/>
    <col min="3" max="3" width="34" style="19" customWidth="1"/>
    <col min="4" max="4" width="32.125" style="19" bestFit="1" customWidth="1"/>
    <col min="5" max="5" width="35.625" style="19" customWidth="1"/>
    <col min="6" max="6" width="35.625" style="19" bestFit="1" customWidth="1"/>
    <col min="7" max="7" width="3.125" style="19" customWidth="1"/>
    <col min="8" max="8" width="33.125" style="19" customWidth="1"/>
    <col min="9" max="9" width="28.375" style="19" customWidth="1"/>
    <col min="10" max="10" width="21.75" style="19" customWidth="1"/>
    <col min="11" max="16384" width="9" style="19"/>
  </cols>
  <sheetData>
    <row r="1" spans="1:6" x14ac:dyDescent="0.15">
      <c r="A1" s="20" t="s">
        <v>558</v>
      </c>
    </row>
    <row r="2" spans="1:6" x14ac:dyDescent="0.15">
      <c r="B2" s="65" t="s">
        <v>316</v>
      </c>
      <c r="C2" s="65" t="s">
        <v>563</v>
      </c>
      <c r="D2" s="65" t="s">
        <v>1445</v>
      </c>
      <c r="E2" s="65" t="s">
        <v>1446</v>
      </c>
      <c r="F2" s="65" t="s">
        <v>1447</v>
      </c>
    </row>
    <row r="3" spans="1:6" x14ac:dyDescent="0.15">
      <c r="B3" s="95"/>
      <c r="C3" s="95" t="s">
        <v>555</v>
      </c>
      <c r="D3" s="95" t="s">
        <v>721</v>
      </c>
      <c r="E3" s="95" t="s">
        <v>555</v>
      </c>
      <c r="F3" s="95" t="s">
        <v>555</v>
      </c>
    </row>
    <row r="4" spans="1:6" x14ac:dyDescent="0.15">
      <c r="B4" s="86" t="s">
        <v>720</v>
      </c>
      <c r="C4" s="86" t="s">
        <v>1452</v>
      </c>
      <c r="D4" s="86" t="s">
        <v>1418</v>
      </c>
      <c r="E4" s="86" t="s">
        <v>284</v>
      </c>
      <c r="F4" s="86" t="s">
        <v>284</v>
      </c>
    </row>
    <row r="5" spans="1:6" x14ac:dyDescent="0.15">
      <c r="B5" s="66" t="s">
        <v>682</v>
      </c>
      <c r="C5" s="66" t="s">
        <v>363</v>
      </c>
      <c r="D5" s="66" t="s">
        <v>663</v>
      </c>
      <c r="E5" s="66" t="s">
        <v>363</v>
      </c>
      <c r="F5" s="66" t="s">
        <v>528</v>
      </c>
    </row>
    <row r="6" spans="1:6" x14ac:dyDescent="0.15">
      <c r="B6" s="66" t="s">
        <v>683</v>
      </c>
      <c r="C6" s="67" t="s">
        <v>1573</v>
      </c>
      <c r="D6" s="67" t="s">
        <v>1574</v>
      </c>
      <c r="E6" s="67" t="s">
        <v>285</v>
      </c>
      <c r="F6" s="67" t="s">
        <v>285</v>
      </c>
    </row>
    <row r="7" spans="1:6" x14ac:dyDescent="0.15">
      <c r="B7" s="66" t="s">
        <v>684</v>
      </c>
      <c r="C7" s="67" t="s">
        <v>916</v>
      </c>
      <c r="D7" s="67" t="s">
        <v>917</v>
      </c>
      <c r="E7" s="67" t="s">
        <v>916</v>
      </c>
      <c r="F7" s="67" t="s">
        <v>918</v>
      </c>
    </row>
    <row r="8" spans="1:6" x14ac:dyDescent="0.15">
      <c r="B8" s="66" t="s">
        <v>685</v>
      </c>
      <c r="C8" s="67" t="s">
        <v>678</v>
      </c>
      <c r="D8" s="67" t="s">
        <v>680</v>
      </c>
      <c r="E8" s="67" t="s">
        <v>678</v>
      </c>
      <c r="F8" s="67" t="s">
        <v>678</v>
      </c>
    </row>
    <row r="9" spans="1:6" x14ac:dyDescent="0.15">
      <c r="B9" s="66" t="s">
        <v>686</v>
      </c>
      <c r="C9" s="67" t="s">
        <v>108</v>
      </c>
      <c r="D9" s="67" t="s">
        <v>109</v>
      </c>
      <c r="E9" s="67" t="s">
        <v>108</v>
      </c>
      <c r="F9" s="67" t="s">
        <v>108</v>
      </c>
    </row>
    <row r="10" spans="1:6" x14ac:dyDescent="0.15">
      <c r="B10" s="66" t="s">
        <v>687</v>
      </c>
      <c r="C10" s="66" t="s">
        <v>679</v>
      </c>
      <c r="D10" s="66" t="s">
        <v>681</v>
      </c>
      <c r="E10" s="66" t="s">
        <v>679</v>
      </c>
      <c r="F10" s="66" t="s">
        <v>679</v>
      </c>
    </row>
    <row r="11" spans="1:6" x14ac:dyDescent="0.15">
      <c r="B11" s="66" t="s">
        <v>688</v>
      </c>
      <c r="C11" s="67" t="s">
        <v>1119</v>
      </c>
      <c r="D11" s="67" t="s">
        <v>1173</v>
      </c>
      <c r="E11" s="67" t="s">
        <v>344</v>
      </c>
      <c r="F11" s="67" t="s">
        <v>344</v>
      </c>
    </row>
    <row r="12" spans="1:6" x14ac:dyDescent="0.15">
      <c r="B12" s="66" t="s">
        <v>689</v>
      </c>
      <c r="C12" s="67" t="s">
        <v>452</v>
      </c>
      <c r="D12" s="67" t="s">
        <v>1871</v>
      </c>
      <c r="E12" s="67" t="s">
        <v>452</v>
      </c>
      <c r="F12" s="67" t="s">
        <v>452</v>
      </c>
    </row>
    <row r="13" spans="1:6" x14ac:dyDescent="0.15">
      <c r="B13" s="66" t="s">
        <v>690</v>
      </c>
      <c r="C13" s="67" t="s">
        <v>1791</v>
      </c>
      <c r="D13" s="67" t="s">
        <v>1792</v>
      </c>
      <c r="E13" s="67" t="s">
        <v>1793</v>
      </c>
      <c r="F13" s="67" t="s">
        <v>1793</v>
      </c>
    </row>
    <row r="14" spans="1:6" x14ac:dyDescent="0.15">
      <c r="B14" s="86" t="s">
        <v>691</v>
      </c>
      <c r="C14" s="85" t="s">
        <v>439</v>
      </c>
      <c r="D14" s="85" t="s">
        <v>286</v>
      </c>
      <c r="E14" s="85" t="s">
        <v>439</v>
      </c>
      <c r="F14" s="85" t="s">
        <v>440</v>
      </c>
    </row>
    <row r="15" spans="1:6" x14ac:dyDescent="0.15">
      <c r="B15" s="86" t="s">
        <v>692</v>
      </c>
      <c r="C15" s="85" t="s">
        <v>519</v>
      </c>
      <c r="D15" s="85" t="s">
        <v>521</v>
      </c>
      <c r="E15" s="85" t="s">
        <v>519</v>
      </c>
      <c r="F15" s="85" t="s">
        <v>519</v>
      </c>
    </row>
    <row r="16" spans="1:6" x14ac:dyDescent="0.15">
      <c r="B16" s="86" t="s">
        <v>693</v>
      </c>
      <c r="C16" s="85" t="s">
        <v>520</v>
      </c>
      <c r="D16" s="85" t="s">
        <v>522</v>
      </c>
      <c r="E16" s="85" t="s">
        <v>520</v>
      </c>
      <c r="F16" s="85" t="s">
        <v>520</v>
      </c>
    </row>
    <row r="17" spans="1:6" x14ac:dyDescent="0.15">
      <c r="B17" s="86" t="s">
        <v>694</v>
      </c>
      <c r="C17" s="85" t="s">
        <v>919</v>
      </c>
      <c r="D17" s="85" t="s">
        <v>664</v>
      </c>
      <c r="E17" s="85" t="s">
        <v>922</v>
      </c>
      <c r="F17" s="85" t="s">
        <v>922</v>
      </c>
    </row>
    <row r="18" spans="1:6" x14ac:dyDescent="0.15">
      <c r="B18" s="86" t="s">
        <v>695</v>
      </c>
      <c r="C18" s="85" t="s">
        <v>920</v>
      </c>
      <c r="D18" s="85" t="s">
        <v>921</v>
      </c>
      <c r="E18" s="85" t="s">
        <v>920</v>
      </c>
      <c r="F18" s="85" t="s">
        <v>920</v>
      </c>
    </row>
    <row r="19" spans="1:6" x14ac:dyDescent="0.15">
      <c r="B19" s="66" t="s">
        <v>696</v>
      </c>
      <c r="C19" s="67"/>
      <c r="D19" s="67"/>
      <c r="E19" s="67"/>
      <c r="F19" s="67"/>
    </row>
    <row r="21" spans="1:6" x14ac:dyDescent="0.15">
      <c r="A21" s="20" t="s">
        <v>559</v>
      </c>
    </row>
    <row r="22" spans="1:6" x14ac:dyDescent="0.15">
      <c r="B22" s="65" t="s">
        <v>316</v>
      </c>
      <c r="C22" s="65" t="s">
        <v>563</v>
      </c>
      <c r="D22" s="65" t="s">
        <v>1445</v>
      </c>
      <c r="E22" s="65" t="s">
        <v>1446</v>
      </c>
      <c r="F22" s="65" t="s">
        <v>1447</v>
      </c>
    </row>
    <row r="23" spans="1:6" x14ac:dyDescent="0.15">
      <c r="B23" s="95"/>
      <c r="C23" s="99" t="s">
        <v>119</v>
      </c>
      <c r="D23" s="99" t="s">
        <v>120</v>
      </c>
      <c r="E23" s="97" t="s">
        <v>119</v>
      </c>
      <c r="F23" s="99" t="s">
        <v>579</v>
      </c>
    </row>
    <row r="24" spans="1:6" ht="31.5" x14ac:dyDescent="0.15">
      <c r="B24" s="66" t="s">
        <v>110</v>
      </c>
      <c r="C24" s="64" t="s">
        <v>441</v>
      </c>
      <c r="D24" s="70" t="s">
        <v>1646</v>
      </c>
      <c r="E24" s="70" t="s">
        <v>441</v>
      </c>
      <c r="F24" s="70" t="s">
        <v>441</v>
      </c>
    </row>
    <row r="25" spans="1:6" ht="47.25" x14ac:dyDescent="0.15">
      <c r="B25" s="66" t="s">
        <v>111</v>
      </c>
      <c r="C25" s="70" t="s">
        <v>340</v>
      </c>
      <c r="D25" s="70" t="s">
        <v>1647</v>
      </c>
      <c r="E25" s="70" t="s">
        <v>340</v>
      </c>
      <c r="F25" s="70" t="s">
        <v>345</v>
      </c>
    </row>
    <row r="26" spans="1:6" ht="31.5" x14ac:dyDescent="0.15">
      <c r="B26" s="66" t="s">
        <v>112</v>
      </c>
      <c r="C26" s="64" t="s">
        <v>1795</v>
      </c>
      <c r="D26" s="70" t="s">
        <v>1803</v>
      </c>
      <c r="E26" s="70" t="s">
        <v>1795</v>
      </c>
      <c r="F26" s="70" t="s">
        <v>404</v>
      </c>
    </row>
    <row r="27" spans="1:6" x14ac:dyDescent="0.15">
      <c r="B27" s="66" t="s">
        <v>113</v>
      </c>
      <c r="C27" s="64" t="s">
        <v>442</v>
      </c>
      <c r="D27" s="70" t="s">
        <v>1802</v>
      </c>
      <c r="E27" s="70" t="s">
        <v>442</v>
      </c>
      <c r="F27" s="70" t="s">
        <v>442</v>
      </c>
    </row>
    <row r="28" spans="1:6" ht="31.5" x14ac:dyDescent="0.15">
      <c r="B28" s="66" t="s">
        <v>114</v>
      </c>
      <c r="C28" s="64" t="s">
        <v>1794</v>
      </c>
      <c r="D28" s="70" t="s">
        <v>1801</v>
      </c>
      <c r="E28" s="70" t="s">
        <v>1794</v>
      </c>
      <c r="F28" s="70" t="s">
        <v>1794</v>
      </c>
    </row>
    <row r="29" spans="1:6" ht="31.5" x14ac:dyDescent="0.15">
      <c r="B29" s="66" t="s">
        <v>115</v>
      </c>
      <c r="C29" s="70" t="s">
        <v>974</v>
      </c>
      <c r="D29" s="70" t="s">
        <v>1648</v>
      </c>
      <c r="E29" s="70" t="s">
        <v>974</v>
      </c>
      <c r="F29" s="70"/>
    </row>
    <row r="30" spans="1:6" x14ac:dyDescent="0.15">
      <c r="B30" s="66" t="s">
        <v>116</v>
      </c>
      <c r="C30" s="64" t="s">
        <v>564</v>
      </c>
      <c r="D30" s="70" t="s">
        <v>1649</v>
      </c>
      <c r="E30" s="70" t="s">
        <v>564</v>
      </c>
      <c r="F30" s="70" t="s">
        <v>564</v>
      </c>
    </row>
    <row r="31" spans="1:6" ht="31.5" x14ac:dyDescent="0.15">
      <c r="B31" s="66" t="s">
        <v>117</v>
      </c>
      <c r="C31" s="64" t="s">
        <v>1909</v>
      </c>
      <c r="D31" s="70" t="s">
        <v>1800</v>
      </c>
      <c r="E31" s="70" t="s">
        <v>1909</v>
      </c>
      <c r="F31" s="70" t="s">
        <v>317</v>
      </c>
    </row>
    <row r="32" spans="1:6" ht="31.5" x14ac:dyDescent="0.15">
      <c r="B32" s="66" t="s">
        <v>272</v>
      </c>
      <c r="C32" s="70" t="s">
        <v>1796</v>
      </c>
      <c r="D32" s="70" t="s">
        <v>1799</v>
      </c>
      <c r="E32" s="70" t="s">
        <v>1796</v>
      </c>
      <c r="F32" s="70"/>
    </row>
    <row r="33" spans="1:6" ht="31.5" x14ac:dyDescent="0.15">
      <c r="B33" s="66" t="s">
        <v>972</v>
      </c>
      <c r="C33" s="70" t="s">
        <v>1797</v>
      </c>
      <c r="D33" s="70" t="s">
        <v>1798</v>
      </c>
      <c r="E33" s="70" t="s">
        <v>1797</v>
      </c>
      <c r="F33" s="70"/>
    </row>
    <row r="34" spans="1:6" ht="31.5" x14ac:dyDescent="0.15">
      <c r="B34" s="66" t="s">
        <v>973</v>
      </c>
      <c r="C34" s="70" t="s">
        <v>588</v>
      </c>
      <c r="D34" s="70" t="s">
        <v>1650</v>
      </c>
      <c r="E34" s="70" t="s">
        <v>588</v>
      </c>
      <c r="F34" s="70" t="s">
        <v>589</v>
      </c>
    </row>
    <row r="35" spans="1:6" ht="31.5" x14ac:dyDescent="0.15">
      <c r="B35" s="66" t="s">
        <v>1345</v>
      </c>
      <c r="C35" s="70" t="s">
        <v>341</v>
      </c>
      <c r="D35" s="70" t="s">
        <v>1651</v>
      </c>
      <c r="E35" s="70" t="s">
        <v>341</v>
      </c>
      <c r="F35" s="70" t="s">
        <v>346</v>
      </c>
    </row>
    <row r="36" spans="1:6" x14ac:dyDescent="0.15">
      <c r="B36" s="71" t="s">
        <v>118</v>
      </c>
      <c r="C36" s="70" t="s">
        <v>119</v>
      </c>
      <c r="D36" s="70" t="s">
        <v>120</v>
      </c>
      <c r="E36" s="70" t="s">
        <v>119</v>
      </c>
      <c r="F36" s="70" t="s">
        <v>119</v>
      </c>
    </row>
    <row r="38" spans="1:6" x14ac:dyDescent="0.15">
      <c r="A38" s="20" t="s">
        <v>1066</v>
      </c>
    </row>
    <row r="39" spans="1:6" x14ac:dyDescent="0.15">
      <c r="B39" s="65" t="s">
        <v>316</v>
      </c>
      <c r="C39" s="65" t="s">
        <v>563</v>
      </c>
      <c r="D39" s="65" t="s">
        <v>1445</v>
      </c>
      <c r="E39" s="65" t="s">
        <v>1446</v>
      </c>
      <c r="F39" s="65" t="s">
        <v>1447</v>
      </c>
    </row>
    <row r="40" spans="1:6" x14ac:dyDescent="0.15">
      <c r="B40" s="95"/>
      <c r="C40" s="95" t="s">
        <v>1065</v>
      </c>
      <c r="D40" s="95" t="s">
        <v>578</v>
      </c>
      <c r="E40" s="95"/>
      <c r="F40" s="95" t="s">
        <v>577</v>
      </c>
    </row>
    <row r="41" spans="1:6" x14ac:dyDescent="0.15">
      <c r="B41" s="95" t="s">
        <v>459</v>
      </c>
      <c r="C41" s="95"/>
      <c r="D41" s="95"/>
      <c r="E41" s="95"/>
      <c r="F41" s="95"/>
    </row>
    <row r="42" spans="1:6" ht="31.5" x14ac:dyDescent="0.15">
      <c r="B42" s="66" t="s">
        <v>132</v>
      </c>
      <c r="C42" s="64" t="s">
        <v>1380</v>
      </c>
      <c r="D42" s="73" t="s">
        <v>1638</v>
      </c>
      <c r="E42" s="64" t="s">
        <v>952</v>
      </c>
      <c r="F42" s="76" t="s">
        <v>565</v>
      </c>
    </row>
    <row r="43" spans="1:6" ht="47.25" x14ac:dyDescent="0.15">
      <c r="B43" s="66" t="s">
        <v>1718</v>
      </c>
      <c r="C43" s="73" t="s">
        <v>957</v>
      </c>
      <c r="D43" s="76" t="s">
        <v>1639</v>
      </c>
      <c r="E43" s="72" t="s">
        <v>957</v>
      </c>
      <c r="F43" s="74" t="s">
        <v>590</v>
      </c>
    </row>
    <row r="44" spans="1:6" ht="47.25" x14ac:dyDescent="0.15">
      <c r="B44" s="66" t="s">
        <v>1719</v>
      </c>
      <c r="C44" s="76" t="s">
        <v>282</v>
      </c>
      <c r="D44" s="76" t="s">
        <v>1640</v>
      </c>
      <c r="E44" s="70" t="s">
        <v>282</v>
      </c>
      <c r="F44" s="74" t="s">
        <v>124</v>
      </c>
    </row>
    <row r="45" spans="1:6" ht="31.5" x14ac:dyDescent="0.15">
      <c r="B45" s="66" t="s">
        <v>1720</v>
      </c>
      <c r="C45" s="76" t="s">
        <v>283</v>
      </c>
      <c r="D45" s="76" t="s">
        <v>1641</v>
      </c>
      <c r="E45" s="70" t="s">
        <v>283</v>
      </c>
      <c r="F45" s="72" t="s">
        <v>130</v>
      </c>
    </row>
    <row r="46" spans="1:6" ht="31.5" x14ac:dyDescent="0.15">
      <c r="B46" s="66" t="s">
        <v>1721</v>
      </c>
      <c r="C46" s="64" t="s">
        <v>953</v>
      </c>
      <c r="D46" s="72" t="s">
        <v>1642</v>
      </c>
      <c r="E46" s="70" t="s">
        <v>953</v>
      </c>
      <c r="F46" s="76" t="s">
        <v>288</v>
      </c>
    </row>
    <row r="47" spans="1:6" ht="31.5" x14ac:dyDescent="0.15">
      <c r="B47" s="66" t="s">
        <v>1722</v>
      </c>
      <c r="C47" s="73" t="s">
        <v>126</v>
      </c>
      <c r="D47" s="76" t="s">
        <v>1944</v>
      </c>
      <c r="E47" s="72" t="s">
        <v>126</v>
      </c>
      <c r="F47" s="72" t="s">
        <v>126</v>
      </c>
    </row>
    <row r="48" spans="1:6" ht="47.25" x14ac:dyDescent="0.15">
      <c r="B48" s="66" t="s">
        <v>1723</v>
      </c>
      <c r="C48" s="73" t="s">
        <v>128</v>
      </c>
      <c r="D48" s="76" t="s">
        <v>1947</v>
      </c>
      <c r="E48" s="72" t="s">
        <v>128</v>
      </c>
      <c r="F48" s="72" t="s">
        <v>128</v>
      </c>
    </row>
    <row r="49" spans="2:6" x14ac:dyDescent="0.15">
      <c r="B49" s="66" t="s">
        <v>1724</v>
      </c>
      <c r="C49" s="72" t="s">
        <v>975</v>
      </c>
      <c r="D49" s="70" t="s">
        <v>1643</v>
      </c>
      <c r="E49" s="72" t="s">
        <v>975</v>
      </c>
      <c r="F49" s="72"/>
    </row>
    <row r="50" spans="2:6" ht="47.25" x14ac:dyDescent="0.15">
      <c r="B50" s="77" t="s">
        <v>1725</v>
      </c>
      <c r="C50" s="64" t="s">
        <v>951</v>
      </c>
      <c r="D50" s="76" t="s">
        <v>1644</v>
      </c>
      <c r="E50" s="70" t="s">
        <v>951</v>
      </c>
      <c r="F50" s="76" t="s">
        <v>1102</v>
      </c>
    </row>
    <row r="51" spans="2:6" x14ac:dyDescent="0.15">
      <c r="B51" s="66" t="s">
        <v>1726</v>
      </c>
      <c r="C51" s="76" t="s">
        <v>131</v>
      </c>
      <c r="D51" s="76" t="s">
        <v>1645</v>
      </c>
      <c r="E51" s="70" t="s">
        <v>131</v>
      </c>
      <c r="F51" s="74" t="s">
        <v>0</v>
      </c>
    </row>
    <row r="52" spans="2:6" x14ac:dyDescent="0.15">
      <c r="B52" s="65" t="s">
        <v>267</v>
      </c>
      <c r="C52" s="65" t="s">
        <v>563</v>
      </c>
      <c r="D52" s="65" t="s">
        <v>1445</v>
      </c>
      <c r="E52" s="65" t="s">
        <v>1446</v>
      </c>
      <c r="F52" s="65" t="s">
        <v>1447</v>
      </c>
    </row>
    <row r="53" spans="2:6" x14ac:dyDescent="0.15">
      <c r="B53" s="95" t="s">
        <v>511</v>
      </c>
      <c r="C53" s="95"/>
      <c r="D53" s="95"/>
      <c r="E53" s="95"/>
      <c r="F53" s="95"/>
    </row>
    <row r="54" spans="2:6" ht="47.25" x14ac:dyDescent="0.15">
      <c r="B54" s="66" t="s">
        <v>132</v>
      </c>
      <c r="C54" s="64" t="s">
        <v>1927</v>
      </c>
      <c r="D54" s="73" t="s">
        <v>1619</v>
      </c>
      <c r="E54" s="64" t="s">
        <v>1360</v>
      </c>
      <c r="F54" s="76" t="s">
        <v>565</v>
      </c>
    </row>
    <row r="55" spans="2:6" ht="47.25" x14ac:dyDescent="0.15">
      <c r="B55" s="66" t="s">
        <v>1358</v>
      </c>
      <c r="C55" s="64" t="s">
        <v>1928</v>
      </c>
      <c r="D55" s="73" t="s">
        <v>1620</v>
      </c>
      <c r="E55" s="64" t="s">
        <v>1361</v>
      </c>
      <c r="F55" s="76"/>
    </row>
    <row r="56" spans="2:6" ht="47.25" x14ac:dyDescent="0.15">
      <c r="B56" s="66" t="s">
        <v>121</v>
      </c>
      <c r="C56" s="64" t="s">
        <v>1381</v>
      </c>
      <c r="D56" s="72" t="s">
        <v>1621</v>
      </c>
      <c r="E56" s="64" t="s">
        <v>934</v>
      </c>
      <c r="F56" s="76" t="s">
        <v>287</v>
      </c>
    </row>
    <row r="57" spans="2:6" ht="63" x14ac:dyDescent="0.15">
      <c r="B57" s="66" t="s">
        <v>133</v>
      </c>
      <c r="C57" s="64" t="s">
        <v>1321</v>
      </c>
      <c r="D57" s="72" t="s">
        <v>1622</v>
      </c>
      <c r="E57" s="64" t="s">
        <v>935</v>
      </c>
      <c r="F57" s="76" t="s">
        <v>870</v>
      </c>
    </row>
    <row r="58" spans="2:6" ht="47.25" x14ac:dyDescent="0.15">
      <c r="B58" s="66" t="s">
        <v>134</v>
      </c>
      <c r="C58" s="64" t="s">
        <v>1322</v>
      </c>
      <c r="D58" s="72" t="s">
        <v>1623</v>
      </c>
      <c r="E58" s="64" t="s">
        <v>936</v>
      </c>
      <c r="F58" s="76" t="s">
        <v>289</v>
      </c>
    </row>
    <row r="59" spans="2:6" ht="63" x14ac:dyDescent="0.15">
      <c r="B59" s="66" t="s">
        <v>135</v>
      </c>
      <c r="C59" s="64" t="s">
        <v>1323</v>
      </c>
      <c r="D59" s="72" t="s">
        <v>1624</v>
      </c>
      <c r="E59" s="64" t="s">
        <v>949</v>
      </c>
      <c r="F59" s="76" t="s">
        <v>290</v>
      </c>
    </row>
    <row r="60" spans="2:6" ht="63" x14ac:dyDescent="0.15">
      <c r="B60" s="66" t="s">
        <v>122</v>
      </c>
      <c r="C60" s="64" t="s">
        <v>1324</v>
      </c>
      <c r="D60" s="72" t="s">
        <v>1625</v>
      </c>
      <c r="E60" s="64" t="s">
        <v>937</v>
      </c>
      <c r="F60" s="76" t="s">
        <v>291</v>
      </c>
    </row>
    <row r="61" spans="2:6" ht="63" x14ac:dyDescent="0.15">
      <c r="B61" s="66" t="s">
        <v>136</v>
      </c>
      <c r="C61" s="64" t="s">
        <v>1951</v>
      </c>
      <c r="D61" s="72" t="s">
        <v>1626</v>
      </c>
      <c r="E61" s="64" t="s">
        <v>950</v>
      </c>
      <c r="F61" s="76" t="s">
        <v>292</v>
      </c>
    </row>
    <row r="62" spans="2:6" ht="47.25" x14ac:dyDescent="0.15">
      <c r="B62" s="66" t="s">
        <v>137</v>
      </c>
      <c r="C62" s="64" t="s">
        <v>1325</v>
      </c>
      <c r="D62" s="76" t="s">
        <v>1627</v>
      </c>
      <c r="E62" s="64" t="s">
        <v>938</v>
      </c>
      <c r="F62" s="76" t="s">
        <v>293</v>
      </c>
    </row>
    <row r="63" spans="2:6" ht="47.25" x14ac:dyDescent="0.15">
      <c r="B63" s="66" t="s">
        <v>123</v>
      </c>
      <c r="C63" s="78" t="s">
        <v>1326</v>
      </c>
      <c r="D63" s="79" t="s">
        <v>1628</v>
      </c>
      <c r="E63" s="78" t="s">
        <v>939</v>
      </c>
      <c r="F63" s="79" t="s">
        <v>294</v>
      </c>
    </row>
    <row r="64" spans="2:6" ht="47.25" x14ac:dyDescent="0.15">
      <c r="B64" s="66" t="s">
        <v>125</v>
      </c>
      <c r="C64" s="64" t="s">
        <v>1327</v>
      </c>
      <c r="D64" s="76" t="s">
        <v>1629</v>
      </c>
      <c r="E64" s="64" t="s">
        <v>940</v>
      </c>
      <c r="F64" s="76" t="s">
        <v>295</v>
      </c>
    </row>
    <row r="65" spans="1:6" ht="31.5" x14ac:dyDescent="0.15">
      <c r="B65" s="66" t="s">
        <v>127</v>
      </c>
      <c r="C65" s="64" t="s">
        <v>283</v>
      </c>
      <c r="D65" s="76" t="s">
        <v>1630</v>
      </c>
      <c r="E65" s="64" t="s">
        <v>941</v>
      </c>
      <c r="F65" s="76" t="s">
        <v>296</v>
      </c>
    </row>
    <row r="66" spans="1:6" ht="31.5" x14ac:dyDescent="0.15">
      <c r="B66" s="66" t="s">
        <v>138</v>
      </c>
      <c r="C66" s="64" t="s">
        <v>1328</v>
      </c>
      <c r="D66" s="73" t="s">
        <v>1631</v>
      </c>
      <c r="E66" s="64" t="s">
        <v>942</v>
      </c>
      <c r="F66" s="76" t="s">
        <v>288</v>
      </c>
    </row>
    <row r="67" spans="1:6" ht="31.5" x14ac:dyDescent="0.15">
      <c r="B67" s="66" t="s">
        <v>129</v>
      </c>
      <c r="C67" s="64" t="s">
        <v>1329</v>
      </c>
      <c r="D67" s="76" t="s">
        <v>1945</v>
      </c>
      <c r="E67" s="64" t="s">
        <v>943</v>
      </c>
      <c r="F67" s="76" t="s">
        <v>126</v>
      </c>
    </row>
    <row r="68" spans="1:6" ht="47.25" x14ac:dyDescent="0.15">
      <c r="B68" s="66" t="s">
        <v>877</v>
      </c>
      <c r="C68" s="64" t="s">
        <v>1330</v>
      </c>
      <c r="D68" s="76" t="s">
        <v>1946</v>
      </c>
      <c r="E68" s="64" t="s">
        <v>944</v>
      </c>
      <c r="F68" s="76" t="s">
        <v>128</v>
      </c>
    </row>
    <row r="69" spans="1:6" x14ac:dyDescent="0.15">
      <c r="B69" s="66" t="s">
        <v>976</v>
      </c>
      <c r="C69" s="64" t="s">
        <v>1331</v>
      </c>
      <c r="D69" s="76" t="s">
        <v>1632</v>
      </c>
      <c r="E69" s="64" t="s">
        <v>945</v>
      </c>
      <c r="F69" s="76" t="s">
        <v>297</v>
      </c>
    </row>
    <row r="70" spans="1:6" x14ac:dyDescent="0.15">
      <c r="B70" s="66" t="s">
        <v>977</v>
      </c>
      <c r="C70" s="64" t="s">
        <v>1332</v>
      </c>
      <c r="D70" s="70" t="s">
        <v>1633</v>
      </c>
      <c r="E70" s="64" t="s">
        <v>947</v>
      </c>
      <c r="F70" s="70" t="s">
        <v>298</v>
      </c>
    </row>
    <row r="71" spans="1:6" x14ac:dyDescent="0.15">
      <c r="B71" s="66" t="s">
        <v>978</v>
      </c>
      <c r="C71" s="64" t="s">
        <v>1333</v>
      </c>
      <c r="D71" s="70" t="s">
        <v>1634</v>
      </c>
      <c r="E71" s="64" t="s">
        <v>948</v>
      </c>
      <c r="F71" s="70" t="s">
        <v>299</v>
      </c>
    </row>
    <row r="72" spans="1:6" x14ac:dyDescent="0.15">
      <c r="B72" s="66" t="s">
        <v>979</v>
      </c>
      <c r="C72" s="64" t="s">
        <v>1334</v>
      </c>
      <c r="D72" s="76" t="s">
        <v>1635</v>
      </c>
      <c r="E72" s="64" t="s">
        <v>946</v>
      </c>
      <c r="F72" s="76" t="s">
        <v>300</v>
      </c>
    </row>
    <row r="73" spans="1:6" ht="31.5" x14ac:dyDescent="0.15">
      <c r="B73" s="66" t="s">
        <v>980</v>
      </c>
      <c r="C73" s="64" t="s">
        <v>1335</v>
      </c>
      <c r="D73" s="70" t="s">
        <v>1636</v>
      </c>
      <c r="E73" s="76" t="s">
        <v>951</v>
      </c>
      <c r="F73" s="70" t="s">
        <v>487</v>
      </c>
    </row>
    <row r="74" spans="1:6" x14ac:dyDescent="0.15">
      <c r="B74" s="66" t="s">
        <v>1359</v>
      </c>
      <c r="C74" s="76" t="s">
        <v>1336</v>
      </c>
      <c r="D74" s="76" t="s">
        <v>1637</v>
      </c>
      <c r="E74" s="74" t="s">
        <v>0</v>
      </c>
      <c r="F74" s="74" t="s">
        <v>0</v>
      </c>
    </row>
    <row r="75" spans="1:6" ht="47.25" x14ac:dyDescent="0.15">
      <c r="B75" s="80" t="s">
        <v>139</v>
      </c>
      <c r="C75" s="81" t="s">
        <v>955</v>
      </c>
      <c r="D75" s="577" t="s">
        <v>140</v>
      </c>
      <c r="E75" s="82" t="s">
        <v>954</v>
      </c>
      <c r="F75" s="82" t="s">
        <v>435</v>
      </c>
    </row>
    <row r="76" spans="1:6" x14ac:dyDescent="0.15">
      <c r="B76" s="550"/>
      <c r="C76" s="551"/>
      <c r="D76" s="552"/>
      <c r="E76" s="553"/>
      <c r="F76" s="553"/>
    </row>
    <row r="77" spans="1:6" x14ac:dyDescent="0.15">
      <c r="A77" s="20" t="s">
        <v>560</v>
      </c>
      <c r="E77" s="21"/>
      <c r="F77" s="21"/>
    </row>
    <row r="78" spans="1:6" x14ac:dyDescent="0.15">
      <c r="B78" s="65" t="s">
        <v>316</v>
      </c>
      <c r="C78" s="65" t="s">
        <v>563</v>
      </c>
      <c r="D78" s="65" t="s">
        <v>1445</v>
      </c>
      <c r="E78" s="65" t="s">
        <v>1446</v>
      </c>
      <c r="F78" s="65" t="s">
        <v>1447</v>
      </c>
    </row>
    <row r="79" spans="1:6" x14ac:dyDescent="0.15">
      <c r="B79" s="95"/>
      <c r="C79" s="95" t="s">
        <v>576</v>
      </c>
      <c r="D79" s="95" t="s">
        <v>982</v>
      </c>
      <c r="E79" s="95"/>
      <c r="F79" s="95" t="s">
        <v>576</v>
      </c>
    </row>
    <row r="80" spans="1:6" ht="31.5" x14ac:dyDescent="0.15">
      <c r="B80" s="66" t="s">
        <v>1652</v>
      </c>
      <c r="C80" s="64" t="s">
        <v>1804</v>
      </c>
      <c r="D80" s="70" t="s">
        <v>1817</v>
      </c>
      <c r="E80" s="70" t="s">
        <v>1830</v>
      </c>
      <c r="F80" s="70" t="s">
        <v>1757</v>
      </c>
    </row>
    <row r="81" spans="1:6" ht="31.5" x14ac:dyDescent="0.15">
      <c r="B81" s="66" t="s">
        <v>1653</v>
      </c>
      <c r="C81" s="64" t="s">
        <v>1805</v>
      </c>
      <c r="D81" s="70" t="s">
        <v>1818</v>
      </c>
      <c r="E81" s="70" t="s">
        <v>1805</v>
      </c>
      <c r="F81" s="70" t="s">
        <v>1758</v>
      </c>
    </row>
    <row r="82" spans="1:6" ht="31.5" x14ac:dyDescent="0.15">
      <c r="B82" s="66" t="s">
        <v>503</v>
      </c>
      <c r="C82" s="64" t="s">
        <v>1806</v>
      </c>
      <c r="D82" s="70" t="s">
        <v>1819</v>
      </c>
      <c r="E82" s="70" t="s">
        <v>1806</v>
      </c>
      <c r="F82" s="70" t="s">
        <v>1759</v>
      </c>
    </row>
    <row r="83" spans="1:6" ht="31.5" x14ac:dyDescent="0.15">
      <c r="B83" s="66" t="s">
        <v>1654</v>
      </c>
      <c r="C83" s="64" t="s">
        <v>1807</v>
      </c>
      <c r="D83" s="70" t="s">
        <v>1820</v>
      </c>
      <c r="E83" s="70" t="s">
        <v>1807</v>
      </c>
      <c r="F83" s="70" t="s">
        <v>1760</v>
      </c>
    </row>
    <row r="84" spans="1:6" x14ac:dyDescent="0.15">
      <c r="B84" s="66" t="s">
        <v>1655</v>
      </c>
      <c r="C84" s="76" t="s">
        <v>1808</v>
      </c>
      <c r="D84" s="66" t="s">
        <v>1821</v>
      </c>
      <c r="E84" s="70" t="s">
        <v>1808</v>
      </c>
      <c r="F84" s="76" t="s">
        <v>313</v>
      </c>
    </row>
    <row r="85" spans="1:6" x14ac:dyDescent="0.15">
      <c r="B85" s="66" t="s">
        <v>504</v>
      </c>
      <c r="C85" s="76" t="s">
        <v>1809</v>
      </c>
      <c r="D85" s="66" t="s">
        <v>1822</v>
      </c>
      <c r="E85" s="70" t="s">
        <v>1809</v>
      </c>
      <c r="F85" s="76" t="s">
        <v>314</v>
      </c>
    </row>
    <row r="86" spans="1:6" x14ac:dyDescent="0.15">
      <c r="B86" s="66" t="s">
        <v>505</v>
      </c>
      <c r="C86" s="64" t="s">
        <v>1810</v>
      </c>
      <c r="D86" s="66" t="s">
        <v>1823</v>
      </c>
      <c r="E86" s="70" t="s">
        <v>1810</v>
      </c>
      <c r="F86" s="76" t="s">
        <v>312</v>
      </c>
    </row>
    <row r="87" spans="1:6" ht="31.5" x14ac:dyDescent="0.15">
      <c r="B87" s="66" t="s">
        <v>506</v>
      </c>
      <c r="C87" s="64" t="s">
        <v>1811</v>
      </c>
      <c r="D87" s="70" t="s">
        <v>1824</v>
      </c>
      <c r="E87" s="70" t="s">
        <v>1811</v>
      </c>
      <c r="F87" s="70" t="s">
        <v>1761</v>
      </c>
    </row>
    <row r="88" spans="1:6" ht="31.5" x14ac:dyDescent="0.15">
      <c r="B88" s="66" t="s">
        <v>507</v>
      </c>
      <c r="C88" s="64" t="s">
        <v>1812</v>
      </c>
      <c r="D88" s="70" t="s">
        <v>1825</v>
      </c>
      <c r="E88" s="70" t="s">
        <v>1812</v>
      </c>
      <c r="F88" s="70" t="s">
        <v>1762</v>
      </c>
    </row>
    <row r="89" spans="1:6" ht="31.5" x14ac:dyDescent="0.15">
      <c r="B89" s="66" t="s">
        <v>508</v>
      </c>
      <c r="C89" s="547" t="s">
        <v>1813</v>
      </c>
      <c r="D89" s="549" t="s">
        <v>1826</v>
      </c>
      <c r="E89" s="549" t="s">
        <v>1813</v>
      </c>
      <c r="F89" s="549" t="s">
        <v>1533</v>
      </c>
    </row>
    <row r="90" spans="1:6" ht="31.5" x14ac:dyDescent="0.15">
      <c r="B90" s="66" t="s">
        <v>509</v>
      </c>
      <c r="C90" s="547" t="s">
        <v>1814</v>
      </c>
      <c r="D90" s="549" t="s">
        <v>1827</v>
      </c>
      <c r="E90" s="549" t="s">
        <v>1814</v>
      </c>
      <c r="F90" s="549" t="s">
        <v>1534</v>
      </c>
    </row>
    <row r="91" spans="1:6" ht="31.5" x14ac:dyDescent="0.15">
      <c r="B91" s="66" t="s">
        <v>1656</v>
      </c>
      <c r="C91" s="547" t="s">
        <v>1815</v>
      </c>
      <c r="D91" s="549" t="s">
        <v>1828</v>
      </c>
      <c r="E91" s="549" t="s">
        <v>1815</v>
      </c>
      <c r="F91" s="549" t="s">
        <v>1535</v>
      </c>
    </row>
    <row r="92" spans="1:6" ht="31.5" x14ac:dyDescent="0.15">
      <c r="B92" s="66" t="s">
        <v>1530</v>
      </c>
      <c r="C92" s="547" t="s">
        <v>1816</v>
      </c>
      <c r="D92" s="549" t="s">
        <v>1829</v>
      </c>
      <c r="E92" s="549" t="s">
        <v>1816</v>
      </c>
      <c r="F92" s="549" t="s">
        <v>1536</v>
      </c>
    </row>
    <row r="93" spans="1:6" ht="31.5" x14ac:dyDescent="0.15">
      <c r="B93" s="66" t="s">
        <v>1531</v>
      </c>
      <c r="C93" s="64" t="s">
        <v>1925</v>
      </c>
      <c r="D93" s="64" t="s">
        <v>1926</v>
      </c>
      <c r="E93" s="64" t="s">
        <v>1910</v>
      </c>
      <c r="F93" s="70"/>
    </row>
    <row r="94" spans="1:6" x14ac:dyDescent="0.15">
      <c r="B94" s="66" t="s">
        <v>510</v>
      </c>
      <c r="C94" s="76" t="s">
        <v>981</v>
      </c>
      <c r="D94" s="76"/>
      <c r="E94" s="76"/>
      <c r="F94" s="76" t="s">
        <v>491</v>
      </c>
    </row>
    <row r="96" spans="1:6" x14ac:dyDescent="0.15">
      <c r="A96" s="20" t="s">
        <v>561</v>
      </c>
    </row>
    <row r="97" spans="2:6" x14ac:dyDescent="0.15">
      <c r="B97" s="65" t="s">
        <v>316</v>
      </c>
      <c r="C97" s="65" t="s">
        <v>563</v>
      </c>
      <c r="D97" s="65" t="s">
        <v>1445</v>
      </c>
      <c r="E97" s="65" t="s">
        <v>1446</v>
      </c>
      <c r="F97" s="65" t="s">
        <v>1447</v>
      </c>
    </row>
    <row r="98" spans="2:6" x14ac:dyDescent="0.15">
      <c r="B98" s="95"/>
      <c r="C98" s="95" t="s">
        <v>574</v>
      </c>
      <c r="D98" s="95" t="s">
        <v>575</v>
      </c>
      <c r="E98" s="96" t="s">
        <v>574</v>
      </c>
      <c r="F98" s="95" t="s">
        <v>574</v>
      </c>
    </row>
    <row r="99" spans="2:6" ht="31.5" x14ac:dyDescent="0.15">
      <c r="B99" s="66" t="s">
        <v>143</v>
      </c>
      <c r="C99" s="64" t="s">
        <v>1922</v>
      </c>
      <c r="D99" s="76" t="s">
        <v>1657</v>
      </c>
      <c r="E99" s="70" t="s">
        <v>1831</v>
      </c>
      <c r="F99" s="76" t="s">
        <v>437</v>
      </c>
    </row>
    <row r="100" spans="2:6" x14ac:dyDescent="0.15">
      <c r="B100" s="66" t="s">
        <v>983</v>
      </c>
      <c r="C100" s="64" t="s">
        <v>1339</v>
      </c>
      <c r="D100" s="76" t="s">
        <v>1658</v>
      </c>
      <c r="E100" s="70" t="s">
        <v>309</v>
      </c>
      <c r="F100" s="76" t="s">
        <v>309</v>
      </c>
    </row>
    <row r="101" spans="2:6" x14ac:dyDescent="0.15">
      <c r="B101" s="66" t="s">
        <v>144</v>
      </c>
      <c r="C101" s="76" t="s">
        <v>1340</v>
      </c>
      <c r="D101" s="76" t="s">
        <v>1659</v>
      </c>
      <c r="E101" s="70" t="s">
        <v>342</v>
      </c>
      <c r="F101" s="76" t="s">
        <v>301</v>
      </c>
    </row>
    <row r="102" spans="2:6" ht="31.5" x14ac:dyDescent="0.15">
      <c r="B102" s="66" t="s">
        <v>984</v>
      </c>
      <c r="C102" s="64" t="s">
        <v>1920</v>
      </c>
      <c r="D102" s="76" t="s">
        <v>1660</v>
      </c>
      <c r="E102" s="70" t="s">
        <v>1832</v>
      </c>
      <c r="F102" s="76" t="s">
        <v>438</v>
      </c>
    </row>
    <row r="103" spans="2:6" ht="47.25" x14ac:dyDescent="0.15">
      <c r="B103" s="66" t="s">
        <v>145</v>
      </c>
      <c r="C103" s="76" t="s">
        <v>1833</v>
      </c>
      <c r="D103" s="76" t="s">
        <v>1848</v>
      </c>
      <c r="E103" s="70" t="s">
        <v>1833</v>
      </c>
      <c r="F103" s="76" t="s">
        <v>302</v>
      </c>
    </row>
    <row r="104" spans="2:6" ht="47.25" x14ac:dyDescent="0.15">
      <c r="B104" s="66" t="s">
        <v>512</v>
      </c>
      <c r="C104" s="76" t="s">
        <v>1834</v>
      </c>
      <c r="D104" s="76" t="s">
        <v>1847</v>
      </c>
      <c r="E104" s="70" t="s">
        <v>1834</v>
      </c>
      <c r="F104" s="76" t="s">
        <v>303</v>
      </c>
    </row>
    <row r="105" spans="2:6" ht="47.25" x14ac:dyDescent="0.15">
      <c r="B105" s="66" t="s">
        <v>146</v>
      </c>
      <c r="C105" s="76" t="s">
        <v>1835</v>
      </c>
      <c r="D105" s="76" t="s">
        <v>1846</v>
      </c>
      <c r="E105" s="70" t="s">
        <v>1835</v>
      </c>
      <c r="F105" s="76" t="s">
        <v>304</v>
      </c>
    </row>
    <row r="106" spans="2:6" x14ac:dyDescent="0.15">
      <c r="B106" s="66" t="s">
        <v>513</v>
      </c>
      <c r="C106" s="76" t="s">
        <v>273</v>
      </c>
      <c r="D106" s="76" t="s">
        <v>1661</v>
      </c>
      <c r="E106" s="70" t="s">
        <v>273</v>
      </c>
      <c r="F106" s="76" t="s">
        <v>305</v>
      </c>
    </row>
    <row r="107" spans="2:6" ht="31.5" x14ac:dyDescent="0.15">
      <c r="B107" s="66" t="s">
        <v>147</v>
      </c>
      <c r="C107" s="64" t="s">
        <v>1921</v>
      </c>
      <c r="D107" s="76" t="s">
        <v>1662</v>
      </c>
      <c r="E107" s="70" t="s">
        <v>1836</v>
      </c>
      <c r="F107" s="76" t="s">
        <v>343</v>
      </c>
    </row>
    <row r="108" spans="2:6" ht="31.5" x14ac:dyDescent="0.15">
      <c r="B108" s="66" t="s">
        <v>514</v>
      </c>
      <c r="C108" s="64" t="s">
        <v>1837</v>
      </c>
      <c r="D108" s="76" t="s">
        <v>1845</v>
      </c>
      <c r="E108" s="70" t="s">
        <v>1837</v>
      </c>
      <c r="F108" s="76" t="s">
        <v>306</v>
      </c>
    </row>
    <row r="109" spans="2:6" ht="31.5" x14ac:dyDescent="0.15">
      <c r="B109" s="66" t="s">
        <v>148</v>
      </c>
      <c r="C109" s="64" t="s">
        <v>1838</v>
      </c>
      <c r="D109" s="76" t="s">
        <v>1843</v>
      </c>
      <c r="E109" s="70" t="s">
        <v>1838</v>
      </c>
      <c r="F109" s="76" t="s">
        <v>307</v>
      </c>
    </row>
    <row r="110" spans="2:6" ht="31.5" x14ac:dyDescent="0.15">
      <c r="B110" s="66" t="s">
        <v>515</v>
      </c>
      <c r="C110" s="64" t="s">
        <v>1839</v>
      </c>
      <c r="D110" s="76" t="s">
        <v>1844</v>
      </c>
      <c r="E110" s="70" t="s">
        <v>1839</v>
      </c>
      <c r="F110" s="76" t="s">
        <v>308</v>
      </c>
    </row>
    <row r="111" spans="2:6" ht="31.5" x14ac:dyDescent="0.15">
      <c r="B111" s="66" t="s">
        <v>149</v>
      </c>
      <c r="C111" s="64" t="s">
        <v>1923</v>
      </c>
      <c r="D111" s="70" t="s">
        <v>1663</v>
      </c>
      <c r="E111" s="70" t="s">
        <v>1903</v>
      </c>
      <c r="F111" s="70" t="s">
        <v>1103</v>
      </c>
    </row>
    <row r="112" spans="2:6" ht="31.5" x14ac:dyDescent="0.15">
      <c r="B112" s="66" t="s">
        <v>516</v>
      </c>
      <c r="C112" s="64" t="s">
        <v>1924</v>
      </c>
      <c r="D112" s="70" t="s">
        <v>1664</v>
      </c>
      <c r="E112" s="70" t="s">
        <v>1904</v>
      </c>
      <c r="F112" s="70" t="s">
        <v>1105</v>
      </c>
    </row>
    <row r="113" spans="1:6" ht="47.25" x14ac:dyDescent="0.15">
      <c r="B113" s="86" t="s">
        <v>1537</v>
      </c>
      <c r="C113" s="555" t="s">
        <v>1840</v>
      </c>
      <c r="D113" s="555" t="s">
        <v>1464</v>
      </c>
      <c r="E113" s="556" t="s">
        <v>1905</v>
      </c>
      <c r="F113" s="556" t="s">
        <v>311</v>
      </c>
    </row>
    <row r="114" spans="1:6" ht="47.25" x14ac:dyDescent="0.15">
      <c r="B114" s="86" t="s">
        <v>1537</v>
      </c>
      <c r="C114" s="555" t="s">
        <v>1841</v>
      </c>
      <c r="D114" s="555" t="s">
        <v>1465</v>
      </c>
      <c r="E114" s="556" t="s">
        <v>1906</v>
      </c>
      <c r="F114" s="556" t="s">
        <v>310</v>
      </c>
    </row>
    <row r="115" spans="1:6" ht="31.5" x14ac:dyDescent="0.15">
      <c r="B115" s="86" t="s">
        <v>1537</v>
      </c>
      <c r="C115" s="555" t="s">
        <v>1842</v>
      </c>
      <c r="D115" s="555" t="s">
        <v>985</v>
      </c>
      <c r="E115" s="556" t="s">
        <v>1907</v>
      </c>
      <c r="F115" s="556" t="s">
        <v>1104</v>
      </c>
    </row>
    <row r="116" spans="1:6" ht="31.5" x14ac:dyDescent="0.15">
      <c r="B116" s="68" t="s">
        <v>604</v>
      </c>
      <c r="C116" s="64" t="s">
        <v>1107</v>
      </c>
      <c r="D116" s="70" t="s">
        <v>677</v>
      </c>
      <c r="E116" s="70" t="s">
        <v>1109</v>
      </c>
      <c r="F116" s="70" t="s">
        <v>1106</v>
      </c>
    </row>
    <row r="117" spans="1:6" x14ac:dyDescent="0.15">
      <c r="B117" s="68" t="s">
        <v>605</v>
      </c>
      <c r="C117" s="64" t="s">
        <v>1108</v>
      </c>
      <c r="D117" s="67" t="s">
        <v>142</v>
      </c>
      <c r="E117" s="70" t="s">
        <v>1108</v>
      </c>
      <c r="F117" s="70" t="s">
        <v>141</v>
      </c>
    </row>
    <row r="118" spans="1:6" x14ac:dyDescent="0.15">
      <c r="E118" s="21"/>
      <c r="F118" s="21"/>
    </row>
    <row r="119" spans="1:6" x14ac:dyDescent="0.15">
      <c r="A119" s="20" t="s">
        <v>562</v>
      </c>
    </row>
    <row r="120" spans="1:6" x14ac:dyDescent="0.15">
      <c r="B120" s="65" t="s">
        <v>316</v>
      </c>
      <c r="C120" s="65" t="s">
        <v>563</v>
      </c>
      <c r="D120" s="65" t="s">
        <v>1445</v>
      </c>
      <c r="E120" s="65" t="s">
        <v>1446</v>
      </c>
      <c r="F120" s="65" t="s">
        <v>1447</v>
      </c>
    </row>
    <row r="121" spans="1:6" x14ac:dyDescent="0.15">
      <c r="B121" s="95"/>
      <c r="C121" s="95" t="s">
        <v>1069</v>
      </c>
      <c r="D121" s="95" t="s">
        <v>581</v>
      </c>
      <c r="E121" s="95" t="s">
        <v>580</v>
      </c>
      <c r="F121" s="95" t="s">
        <v>580</v>
      </c>
    </row>
    <row r="122" spans="1:6" x14ac:dyDescent="0.15">
      <c r="B122" s="104" t="s">
        <v>1098</v>
      </c>
      <c r="C122" s="102"/>
      <c r="D122" s="102"/>
      <c r="E122" s="102"/>
      <c r="F122" s="103"/>
    </row>
    <row r="123" spans="1:6" x14ac:dyDescent="0.15">
      <c r="B123" s="76" t="s">
        <v>1671</v>
      </c>
      <c r="C123" s="69" t="s">
        <v>986</v>
      </c>
      <c r="D123" s="66" t="s">
        <v>1677</v>
      </c>
      <c r="E123" s="67" t="s">
        <v>1409</v>
      </c>
      <c r="F123" s="66" t="s">
        <v>355</v>
      </c>
    </row>
    <row r="124" spans="1:6" x14ac:dyDescent="0.15">
      <c r="B124" s="76" t="s">
        <v>1670</v>
      </c>
      <c r="C124" s="69" t="s">
        <v>987</v>
      </c>
      <c r="D124" s="67" t="s">
        <v>1678</v>
      </c>
      <c r="E124" s="67" t="s">
        <v>1410</v>
      </c>
      <c r="F124" s="67" t="s">
        <v>407</v>
      </c>
    </row>
    <row r="125" spans="1:6" x14ac:dyDescent="0.15">
      <c r="B125" s="66" t="s">
        <v>1669</v>
      </c>
      <c r="C125" s="69" t="s">
        <v>1110</v>
      </c>
      <c r="D125" s="90" t="s">
        <v>1679</v>
      </c>
      <c r="E125" s="67" t="s">
        <v>1397</v>
      </c>
      <c r="F125" s="67" t="s">
        <v>409</v>
      </c>
    </row>
    <row r="126" spans="1:6" x14ac:dyDescent="0.15">
      <c r="B126" s="76" t="s">
        <v>1668</v>
      </c>
      <c r="C126" s="64" t="s">
        <v>988</v>
      </c>
      <c r="D126" s="67" t="s">
        <v>1680</v>
      </c>
      <c r="E126" s="70" t="s">
        <v>1398</v>
      </c>
      <c r="F126" s="70" t="s">
        <v>659</v>
      </c>
    </row>
    <row r="127" spans="1:6" ht="78.75" x14ac:dyDescent="0.15">
      <c r="B127" s="76" t="s">
        <v>1667</v>
      </c>
      <c r="C127" s="64" t="s">
        <v>1382</v>
      </c>
      <c r="D127" s="69" t="s">
        <v>1681</v>
      </c>
      <c r="E127" s="70" t="s">
        <v>1382</v>
      </c>
      <c r="F127" s="70" t="s">
        <v>436</v>
      </c>
    </row>
    <row r="128" spans="1:6" x14ac:dyDescent="0.15">
      <c r="B128" s="66" t="s">
        <v>1564</v>
      </c>
      <c r="C128" s="69" t="s">
        <v>1402</v>
      </c>
      <c r="D128" s="66" t="s">
        <v>1682</v>
      </c>
      <c r="E128" s="67" t="s">
        <v>1402</v>
      </c>
      <c r="F128" s="66" t="s">
        <v>359</v>
      </c>
    </row>
    <row r="129" spans="2:6" x14ac:dyDescent="0.15">
      <c r="B129" s="66" t="s">
        <v>500</v>
      </c>
      <c r="C129" s="69" t="s">
        <v>1403</v>
      </c>
      <c r="D129" s="66" t="s">
        <v>1683</v>
      </c>
      <c r="E129" s="67" t="s">
        <v>1403</v>
      </c>
      <c r="F129" s="66" t="s">
        <v>360</v>
      </c>
    </row>
    <row r="130" spans="2:6" x14ac:dyDescent="0.15">
      <c r="B130" s="66" t="s">
        <v>501</v>
      </c>
      <c r="C130" s="69" t="s">
        <v>1404</v>
      </c>
      <c r="D130" s="69" t="s">
        <v>1684</v>
      </c>
      <c r="E130" s="67" t="s">
        <v>1665</v>
      </c>
      <c r="F130" s="67" t="s">
        <v>356</v>
      </c>
    </row>
    <row r="131" spans="2:6" x14ac:dyDescent="0.15">
      <c r="B131" s="66" t="s">
        <v>502</v>
      </c>
      <c r="C131" s="69" t="s">
        <v>1538</v>
      </c>
      <c r="D131" s="67" t="s">
        <v>1685</v>
      </c>
      <c r="E131" s="67" t="s">
        <v>1405</v>
      </c>
      <c r="F131" s="67" t="s">
        <v>408</v>
      </c>
    </row>
    <row r="132" spans="2:6" x14ac:dyDescent="0.15">
      <c r="B132" s="66" t="s">
        <v>1565</v>
      </c>
      <c r="C132" s="69" t="s">
        <v>1406</v>
      </c>
      <c r="D132" s="66" t="s">
        <v>1686</v>
      </c>
      <c r="E132" s="67" t="s">
        <v>1411</v>
      </c>
      <c r="F132" s="66" t="s">
        <v>357</v>
      </c>
    </row>
    <row r="133" spans="2:6" x14ac:dyDescent="0.15">
      <c r="B133" s="66" t="s">
        <v>1666</v>
      </c>
      <c r="C133" s="69" t="s">
        <v>0</v>
      </c>
      <c r="D133" s="66" t="s">
        <v>1687</v>
      </c>
      <c r="E133" s="67" t="s">
        <v>1412</v>
      </c>
      <c r="F133" s="66" t="s">
        <v>358</v>
      </c>
    </row>
    <row r="134" spans="2:6" x14ac:dyDescent="0.15">
      <c r="B134" s="65" t="s">
        <v>267</v>
      </c>
      <c r="C134" s="65" t="s">
        <v>563</v>
      </c>
      <c r="D134" s="65" t="s">
        <v>1445</v>
      </c>
      <c r="E134" s="65" t="s">
        <v>1446</v>
      </c>
      <c r="F134" s="65" t="s">
        <v>1447</v>
      </c>
    </row>
    <row r="135" spans="2:6" x14ac:dyDescent="0.15">
      <c r="B135" s="104" t="s">
        <v>1545</v>
      </c>
      <c r="C135" s="102"/>
      <c r="D135" s="102"/>
      <c r="E135" s="102"/>
      <c r="F135" s="103"/>
    </row>
    <row r="136" spans="2:6" x14ac:dyDescent="0.15">
      <c r="B136" s="66" t="s">
        <v>1550</v>
      </c>
      <c r="C136" s="69" t="s">
        <v>1566</v>
      </c>
      <c r="D136" s="66" t="s">
        <v>1675</v>
      </c>
      <c r="E136" s="67" t="s">
        <v>1566</v>
      </c>
      <c r="F136" s="66" t="s">
        <v>1568</v>
      </c>
    </row>
    <row r="137" spans="2:6" x14ac:dyDescent="0.15">
      <c r="B137" s="66" t="s">
        <v>1672</v>
      </c>
      <c r="C137" s="69" t="s">
        <v>1567</v>
      </c>
      <c r="D137" s="66" t="s">
        <v>1676</v>
      </c>
      <c r="E137" s="67" t="s">
        <v>1567</v>
      </c>
      <c r="F137" s="66" t="s">
        <v>1569</v>
      </c>
    </row>
    <row r="138" spans="2:6" x14ac:dyDescent="0.15">
      <c r="B138" s="65" t="s">
        <v>267</v>
      </c>
      <c r="C138" s="65" t="s">
        <v>563</v>
      </c>
      <c r="D138" s="65" t="s">
        <v>1445</v>
      </c>
      <c r="E138" s="65" t="s">
        <v>1446</v>
      </c>
      <c r="F138" s="65" t="s">
        <v>1447</v>
      </c>
    </row>
    <row r="139" spans="2:6" x14ac:dyDescent="0.15">
      <c r="B139" s="104" t="s">
        <v>1546</v>
      </c>
      <c r="C139" s="102"/>
      <c r="D139" s="102"/>
      <c r="E139" s="102"/>
      <c r="F139" s="103"/>
    </row>
    <row r="140" spans="2:6" x14ac:dyDescent="0.15">
      <c r="B140" s="66" t="s">
        <v>1550</v>
      </c>
      <c r="C140" s="69" t="s">
        <v>1547</v>
      </c>
      <c r="D140" s="66" t="s">
        <v>1673</v>
      </c>
      <c r="E140" s="67" t="s">
        <v>1548</v>
      </c>
      <c r="F140" s="66" t="s">
        <v>1549</v>
      </c>
    </row>
    <row r="141" spans="2:6" x14ac:dyDescent="0.15">
      <c r="B141" s="66" t="s">
        <v>1570</v>
      </c>
      <c r="C141" s="69" t="s">
        <v>699</v>
      </c>
      <c r="D141" s="66" t="s">
        <v>1674</v>
      </c>
      <c r="E141" s="67" t="s">
        <v>1087</v>
      </c>
      <c r="F141" s="66" t="s">
        <v>699</v>
      </c>
    </row>
    <row r="142" spans="2:6" x14ac:dyDescent="0.15">
      <c r="B142" s="66" t="s">
        <v>1571</v>
      </c>
      <c r="C142" s="69" t="s">
        <v>1547</v>
      </c>
      <c r="D142" s="66" t="s">
        <v>1673</v>
      </c>
      <c r="E142" s="67" t="s">
        <v>1548</v>
      </c>
      <c r="F142" s="66" t="s">
        <v>1549</v>
      </c>
    </row>
    <row r="143" spans="2:6" x14ac:dyDescent="0.15">
      <c r="B143" s="66" t="s">
        <v>1572</v>
      </c>
      <c r="C143" s="69" t="s">
        <v>699</v>
      </c>
      <c r="D143" s="66" t="s">
        <v>1674</v>
      </c>
      <c r="E143" s="67" t="s">
        <v>1087</v>
      </c>
      <c r="F143" s="66" t="s">
        <v>699</v>
      </c>
    </row>
    <row r="144" spans="2:6" x14ac:dyDescent="0.15">
      <c r="B144" s="65" t="s">
        <v>267</v>
      </c>
      <c r="C144" s="65" t="s">
        <v>563</v>
      </c>
      <c r="D144" s="65" t="s">
        <v>1445</v>
      </c>
      <c r="E144" s="65" t="s">
        <v>1446</v>
      </c>
      <c r="F144" s="65" t="s">
        <v>1447</v>
      </c>
    </row>
    <row r="145" spans="2:6" x14ac:dyDescent="0.15">
      <c r="B145" s="104" t="s">
        <v>1099</v>
      </c>
      <c r="C145" s="102"/>
      <c r="D145" s="102"/>
      <c r="E145" s="102"/>
      <c r="F145" s="103"/>
    </row>
    <row r="146" spans="2:6" ht="31.5" x14ac:dyDescent="0.15">
      <c r="B146" s="66" t="s">
        <v>151</v>
      </c>
      <c r="C146" s="78" t="s">
        <v>1082</v>
      </c>
      <c r="D146" s="78" t="s">
        <v>1593</v>
      </c>
      <c r="E146" s="83" t="s">
        <v>1383</v>
      </c>
      <c r="F146" s="76" t="s">
        <v>700</v>
      </c>
    </row>
    <row r="147" spans="2:6" ht="31.5" x14ac:dyDescent="0.15">
      <c r="B147" s="66" t="s">
        <v>1551</v>
      </c>
      <c r="C147" s="64" t="s">
        <v>1083</v>
      </c>
      <c r="D147" s="78" t="s">
        <v>1594</v>
      </c>
      <c r="E147" s="70" t="s">
        <v>1384</v>
      </c>
      <c r="F147" s="70" t="s">
        <v>701</v>
      </c>
    </row>
    <row r="148" spans="2:6" ht="31.5" x14ac:dyDescent="0.15">
      <c r="B148" s="66" t="s">
        <v>152</v>
      </c>
      <c r="C148" s="64" t="s">
        <v>1081</v>
      </c>
      <c r="D148" s="78" t="s">
        <v>1461</v>
      </c>
      <c r="E148" s="70" t="s">
        <v>1385</v>
      </c>
      <c r="F148" s="70" t="s">
        <v>702</v>
      </c>
    </row>
    <row r="149" spans="2:6" x14ac:dyDescent="0.15">
      <c r="B149" s="66" t="s">
        <v>153</v>
      </c>
      <c r="C149" s="64" t="s">
        <v>876</v>
      </c>
      <c r="D149" s="79" t="s">
        <v>703</v>
      </c>
      <c r="E149" s="70" t="s">
        <v>1386</v>
      </c>
      <c r="F149" s="76" t="s">
        <v>876</v>
      </c>
    </row>
    <row r="150" spans="2:6" ht="31.5" x14ac:dyDescent="0.15">
      <c r="B150" s="66" t="s">
        <v>1552</v>
      </c>
      <c r="C150" s="64" t="s">
        <v>1589</v>
      </c>
      <c r="D150" s="78" t="s">
        <v>1595</v>
      </c>
      <c r="E150" s="70" t="s">
        <v>1387</v>
      </c>
      <c r="F150" s="70" t="s">
        <v>671</v>
      </c>
    </row>
    <row r="151" spans="2:6" x14ac:dyDescent="0.15">
      <c r="B151" s="66" t="s">
        <v>154</v>
      </c>
      <c r="C151" s="547" t="s">
        <v>1590</v>
      </c>
      <c r="D151" s="559" t="s">
        <v>1596</v>
      </c>
      <c r="E151" s="549"/>
      <c r="F151" s="549"/>
    </row>
    <row r="152" spans="2:6" x14ac:dyDescent="0.15">
      <c r="B152" s="66" t="s">
        <v>1553</v>
      </c>
      <c r="C152" s="64" t="s">
        <v>1079</v>
      </c>
      <c r="D152" s="83" t="s">
        <v>1597</v>
      </c>
      <c r="E152" s="70" t="s">
        <v>1388</v>
      </c>
      <c r="F152" s="70" t="s">
        <v>704</v>
      </c>
    </row>
    <row r="153" spans="2:6" x14ac:dyDescent="0.15">
      <c r="B153" s="66" t="s">
        <v>155</v>
      </c>
      <c r="C153" s="78" t="s">
        <v>968</v>
      </c>
      <c r="D153" s="78" t="s">
        <v>970</v>
      </c>
      <c r="E153" s="83" t="s">
        <v>1392</v>
      </c>
      <c r="F153" s="83" t="s">
        <v>708</v>
      </c>
    </row>
    <row r="154" spans="2:6" ht="31.5" x14ac:dyDescent="0.15">
      <c r="B154" s="66" t="s">
        <v>1554</v>
      </c>
      <c r="C154" s="78" t="s">
        <v>1084</v>
      </c>
      <c r="D154" s="78" t="s">
        <v>1598</v>
      </c>
      <c r="E154" s="83" t="s">
        <v>1389</v>
      </c>
      <c r="F154" s="76" t="s">
        <v>705</v>
      </c>
    </row>
    <row r="155" spans="2:6" ht="31.5" x14ac:dyDescent="0.15">
      <c r="B155" s="66" t="s">
        <v>156</v>
      </c>
      <c r="C155" s="64" t="s">
        <v>1080</v>
      </c>
      <c r="D155" s="78" t="s">
        <v>1599</v>
      </c>
      <c r="E155" s="70" t="s">
        <v>1390</v>
      </c>
      <c r="F155" s="70" t="s">
        <v>706</v>
      </c>
    </row>
    <row r="156" spans="2:6" ht="31.5" x14ac:dyDescent="0.15">
      <c r="B156" s="66" t="s">
        <v>1555</v>
      </c>
      <c r="C156" s="64" t="s">
        <v>1460</v>
      </c>
      <c r="D156" s="90" t="s">
        <v>1462</v>
      </c>
      <c r="E156" s="70" t="s">
        <v>1463</v>
      </c>
      <c r="F156" s="67" t="s">
        <v>707</v>
      </c>
    </row>
    <row r="157" spans="2:6" ht="31.5" x14ac:dyDescent="0.15">
      <c r="B157" s="66" t="s">
        <v>1556</v>
      </c>
      <c r="C157" s="64" t="s">
        <v>1591</v>
      </c>
      <c r="D157" s="69" t="s">
        <v>1600</v>
      </c>
      <c r="E157" s="67" t="s">
        <v>1391</v>
      </c>
      <c r="F157" s="67" t="s">
        <v>669</v>
      </c>
    </row>
    <row r="158" spans="2:6" x14ac:dyDescent="0.15">
      <c r="B158" s="66" t="s">
        <v>989</v>
      </c>
      <c r="C158" s="547" t="s">
        <v>1592</v>
      </c>
      <c r="D158" s="69" t="s">
        <v>1601</v>
      </c>
      <c r="E158" s="548"/>
      <c r="F158" s="548"/>
    </row>
    <row r="159" spans="2:6" x14ac:dyDescent="0.15">
      <c r="B159" s="66" t="s">
        <v>1557</v>
      </c>
      <c r="C159" s="78" t="s">
        <v>969</v>
      </c>
      <c r="D159" s="78" t="s">
        <v>971</v>
      </c>
      <c r="E159" s="83" t="s">
        <v>1393</v>
      </c>
      <c r="F159" s="83" t="s">
        <v>709</v>
      </c>
    </row>
    <row r="160" spans="2:6" x14ac:dyDescent="0.15">
      <c r="B160" s="66" t="s">
        <v>990</v>
      </c>
      <c r="C160" s="69" t="s">
        <v>1488</v>
      </c>
      <c r="D160" s="66" t="s">
        <v>413</v>
      </c>
      <c r="E160" s="70" t="s">
        <v>1394</v>
      </c>
      <c r="F160" s="66" t="s">
        <v>497</v>
      </c>
    </row>
    <row r="161" spans="2:8" x14ac:dyDescent="0.15">
      <c r="B161" s="66" t="s">
        <v>1558</v>
      </c>
      <c r="C161" s="69" t="s">
        <v>1085</v>
      </c>
      <c r="D161" s="69" t="s">
        <v>1602</v>
      </c>
      <c r="E161" s="70" t="s">
        <v>1395</v>
      </c>
      <c r="F161" s="66" t="s">
        <v>496</v>
      </c>
    </row>
    <row r="162" spans="2:8" x14ac:dyDescent="0.15">
      <c r="B162" s="66" t="s">
        <v>1559</v>
      </c>
      <c r="C162" s="69" t="s">
        <v>964</v>
      </c>
      <c r="D162" s="66" t="s">
        <v>412</v>
      </c>
      <c r="E162" s="67" t="s">
        <v>1396</v>
      </c>
      <c r="F162" s="66" t="s">
        <v>495</v>
      </c>
    </row>
    <row r="163" spans="2:8" x14ac:dyDescent="0.15">
      <c r="B163" s="66" t="s">
        <v>1560</v>
      </c>
      <c r="C163" s="69" t="s">
        <v>1086</v>
      </c>
      <c r="D163" s="90" t="s">
        <v>967</v>
      </c>
      <c r="E163" s="67" t="s">
        <v>1397</v>
      </c>
      <c r="F163" s="67" t="s">
        <v>409</v>
      </c>
    </row>
    <row r="164" spans="2:8" ht="47.25" x14ac:dyDescent="0.15">
      <c r="B164" s="66" t="s">
        <v>1561</v>
      </c>
      <c r="C164" s="78" t="s">
        <v>1448</v>
      </c>
      <c r="D164" s="76" t="s">
        <v>1603</v>
      </c>
      <c r="E164" s="67" t="s">
        <v>1398</v>
      </c>
      <c r="F164" s="66" t="s">
        <v>449</v>
      </c>
    </row>
    <row r="165" spans="2:8" ht="31.5" x14ac:dyDescent="0.15">
      <c r="B165" s="66" t="s">
        <v>1562</v>
      </c>
      <c r="C165" s="64" t="s">
        <v>1431</v>
      </c>
      <c r="D165" s="76" t="s">
        <v>414</v>
      </c>
      <c r="E165" s="83" t="s">
        <v>1432</v>
      </c>
      <c r="F165" s="76" t="s">
        <v>492</v>
      </c>
    </row>
    <row r="166" spans="2:8" x14ac:dyDescent="0.15">
      <c r="B166" s="66" t="s">
        <v>1563</v>
      </c>
      <c r="C166" s="69" t="s">
        <v>450</v>
      </c>
      <c r="D166" s="67" t="s">
        <v>415</v>
      </c>
      <c r="E166" s="67" t="s">
        <v>1399</v>
      </c>
      <c r="F166" s="67" t="s">
        <v>450</v>
      </c>
    </row>
    <row r="167" spans="2:8" ht="31.5" x14ac:dyDescent="0.15">
      <c r="B167" s="66" t="s">
        <v>498</v>
      </c>
      <c r="C167" s="64" t="s">
        <v>965</v>
      </c>
      <c r="D167" s="67" t="s">
        <v>416</v>
      </c>
      <c r="E167" s="70" t="s">
        <v>1400</v>
      </c>
      <c r="F167" s="70" t="s">
        <v>410</v>
      </c>
    </row>
    <row r="168" spans="2:8" x14ac:dyDescent="0.15">
      <c r="B168" s="66" t="s">
        <v>499</v>
      </c>
      <c r="C168" s="64" t="s">
        <v>411</v>
      </c>
      <c r="D168" s="75" t="s">
        <v>488</v>
      </c>
      <c r="E168" s="70" t="s">
        <v>1401</v>
      </c>
      <c r="F168" s="70" t="s">
        <v>411</v>
      </c>
    </row>
    <row r="169" spans="2:8" x14ac:dyDescent="0.15">
      <c r="B169" s="66" t="s">
        <v>1564</v>
      </c>
      <c r="C169" s="69" t="s">
        <v>359</v>
      </c>
      <c r="D169" s="66" t="s">
        <v>417</v>
      </c>
      <c r="E169" s="67" t="s">
        <v>1402</v>
      </c>
      <c r="F169" s="66" t="s">
        <v>359</v>
      </c>
    </row>
    <row r="170" spans="2:8" x14ac:dyDescent="0.15">
      <c r="B170" s="66" t="s">
        <v>500</v>
      </c>
      <c r="C170" s="69" t="s">
        <v>360</v>
      </c>
      <c r="D170" s="66" t="s">
        <v>406</v>
      </c>
      <c r="E170" s="67" t="s">
        <v>1403</v>
      </c>
      <c r="F170" s="66" t="s">
        <v>360</v>
      </c>
    </row>
    <row r="171" spans="2:8" x14ac:dyDescent="0.15">
      <c r="B171" s="66" t="s">
        <v>501</v>
      </c>
      <c r="C171" s="69" t="s">
        <v>966</v>
      </c>
      <c r="D171" s="69" t="s">
        <v>1948</v>
      </c>
      <c r="E171" s="67" t="s">
        <v>1404</v>
      </c>
      <c r="F171" s="67" t="s">
        <v>356</v>
      </c>
    </row>
    <row r="172" spans="2:8" x14ac:dyDescent="0.15">
      <c r="B172" s="66" t="s">
        <v>502</v>
      </c>
      <c r="C172" s="69" t="s">
        <v>1449</v>
      </c>
      <c r="D172" s="67" t="s">
        <v>418</v>
      </c>
      <c r="E172" s="67" t="s">
        <v>1405</v>
      </c>
      <c r="F172" s="67" t="s">
        <v>408</v>
      </c>
    </row>
    <row r="173" spans="2:8" x14ac:dyDescent="0.15">
      <c r="B173" s="66" t="s">
        <v>1565</v>
      </c>
      <c r="C173" s="69" t="s">
        <v>493</v>
      </c>
      <c r="D173" s="66" t="s">
        <v>1604</v>
      </c>
      <c r="E173" s="67" t="s">
        <v>1406</v>
      </c>
      <c r="F173" s="66" t="s">
        <v>493</v>
      </c>
    </row>
    <row r="174" spans="2:8" x14ac:dyDescent="0.15">
      <c r="B174" s="66" t="s">
        <v>1607</v>
      </c>
      <c r="C174" s="69" t="s">
        <v>1187</v>
      </c>
      <c r="D174" s="66" t="s">
        <v>1605</v>
      </c>
      <c r="E174" s="67" t="s">
        <v>0</v>
      </c>
      <c r="F174" s="66" t="s">
        <v>494</v>
      </c>
    </row>
    <row r="175" spans="2:8" ht="47.25" x14ac:dyDescent="0.15">
      <c r="B175" s="76" t="s">
        <v>1608</v>
      </c>
      <c r="C175" s="64" t="s">
        <v>1716</v>
      </c>
      <c r="D175" s="76" t="s">
        <v>1606</v>
      </c>
      <c r="E175" s="70" t="s">
        <v>1407</v>
      </c>
      <c r="F175" s="76" t="s">
        <v>697</v>
      </c>
      <c r="H175" s="19" t="s">
        <v>1609</v>
      </c>
    </row>
    <row r="176" spans="2:8" ht="47.25" x14ac:dyDescent="0.15">
      <c r="B176" s="76" t="s">
        <v>1611</v>
      </c>
      <c r="C176" s="64" t="s">
        <v>1610</v>
      </c>
      <c r="D176" s="76" t="s">
        <v>1717</v>
      </c>
      <c r="E176" s="70" t="s">
        <v>1408</v>
      </c>
      <c r="F176" s="76" t="s">
        <v>698</v>
      </c>
      <c r="H176" s="19" t="s">
        <v>1609</v>
      </c>
    </row>
    <row r="177" spans="1:12" ht="31.5" x14ac:dyDescent="0.15">
      <c r="A177" s="23"/>
      <c r="B177" s="76" t="s">
        <v>1613</v>
      </c>
      <c r="C177" s="64" t="s">
        <v>1615</v>
      </c>
      <c r="D177" s="76" t="s">
        <v>1618</v>
      </c>
      <c r="E177" s="70"/>
      <c r="F177" s="76"/>
      <c r="H177" s="19" t="s">
        <v>1612</v>
      </c>
    </row>
    <row r="178" spans="1:12" ht="31.5" x14ac:dyDescent="0.15">
      <c r="A178" s="23"/>
      <c r="B178" s="76" t="s">
        <v>1614</v>
      </c>
      <c r="C178" s="64" t="s">
        <v>1616</v>
      </c>
      <c r="D178" s="76" t="s">
        <v>1617</v>
      </c>
      <c r="E178" s="70"/>
      <c r="F178" s="76"/>
      <c r="H178" s="19" t="s">
        <v>1612</v>
      </c>
    </row>
    <row r="179" spans="1:12" x14ac:dyDescent="0.15">
      <c r="B179" s="22"/>
      <c r="C179" s="94"/>
      <c r="D179" s="22"/>
      <c r="E179" s="22"/>
      <c r="F179" s="22"/>
    </row>
    <row r="180" spans="1:12" x14ac:dyDescent="0.15">
      <c r="A180" s="23" t="s">
        <v>566</v>
      </c>
      <c r="B180" s="22"/>
      <c r="C180" s="22"/>
      <c r="D180" s="22"/>
      <c r="E180" s="22"/>
      <c r="F180" s="22"/>
      <c r="H180" s="22"/>
    </row>
    <row r="181" spans="1:12" x14ac:dyDescent="0.15">
      <c r="B181" s="65" t="s">
        <v>267</v>
      </c>
      <c r="C181" s="65" t="s">
        <v>563</v>
      </c>
      <c r="D181" s="65" t="s">
        <v>1445</v>
      </c>
      <c r="E181" s="65" t="s">
        <v>1446</v>
      </c>
      <c r="F181" s="65" t="s">
        <v>1447</v>
      </c>
    </row>
    <row r="182" spans="1:12" x14ac:dyDescent="0.15">
      <c r="B182" s="95"/>
      <c r="C182" s="97" t="s">
        <v>582</v>
      </c>
      <c r="D182" s="96" t="s">
        <v>582</v>
      </c>
      <c r="E182" s="96"/>
      <c r="F182" s="96" t="s">
        <v>582</v>
      </c>
    </row>
    <row r="183" spans="1:12" ht="31.5" x14ac:dyDescent="0.15">
      <c r="B183" s="66" t="s">
        <v>644</v>
      </c>
      <c r="C183" s="70" t="s">
        <v>1938</v>
      </c>
      <c r="D183" s="70" t="s">
        <v>1939</v>
      </c>
      <c r="E183" s="70" t="s">
        <v>879</v>
      </c>
      <c r="F183" s="70" t="s">
        <v>879</v>
      </c>
      <c r="H183" s="22"/>
      <c r="J183" s="475"/>
      <c r="K183" s="474"/>
      <c r="L183" s="474"/>
    </row>
    <row r="184" spans="1:12" ht="31.5" x14ac:dyDescent="0.15">
      <c r="B184" s="66" t="s">
        <v>645</v>
      </c>
      <c r="C184" s="70" t="s">
        <v>1940</v>
      </c>
      <c r="D184" s="70" t="s">
        <v>1941</v>
      </c>
      <c r="E184" s="70" t="s">
        <v>880</v>
      </c>
      <c r="F184" s="70" t="s">
        <v>880</v>
      </c>
    </row>
    <row r="185" spans="1:12" ht="31.5" x14ac:dyDescent="0.15">
      <c r="B185" s="66" t="s">
        <v>556</v>
      </c>
      <c r="C185" s="70" t="s">
        <v>1942</v>
      </c>
      <c r="D185" s="70" t="s">
        <v>1943</v>
      </c>
      <c r="E185" s="70" t="s">
        <v>878</v>
      </c>
      <c r="F185" s="70" t="s">
        <v>878</v>
      </c>
    </row>
    <row r="186" spans="1:12" ht="31.5" x14ac:dyDescent="0.15">
      <c r="B186" s="66" t="s">
        <v>1529</v>
      </c>
      <c r="C186" s="70" t="s">
        <v>1443</v>
      </c>
      <c r="D186" s="70" t="s">
        <v>1688</v>
      </c>
      <c r="E186" s="70" t="s">
        <v>1443</v>
      </c>
      <c r="F186" s="70" t="s">
        <v>662</v>
      </c>
    </row>
    <row r="187" spans="1:12" x14ac:dyDescent="0.15">
      <c r="B187" s="22"/>
      <c r="C187" s="474"/>
      <c r="D187" s="474"/>
      <c r="E187" s="474"/>
      <c r="F187" s="474"/>
    </row>
    <row r="188" spans="1:12" x14ac:dyDescent="0.15">
      <c r="A188" s="20" t="s">
        <v>568</v>
      </c>
    </row>
    <row r="189" spans="1:12" x14ac:dyDescent="0.15">
      <c r="B189" s="65" t="s">
        <v>316</v>
      </c>
      <c r="C189" s="65" t="s">
        <v>563</v>
      </c>
      <c r="D189" s="65" t="s">
        <v>1445</v>
      </c>
      <c r="E189" s="65" t="s">
        <v>1446</v>
      </c>
      <c r="F189" s="65" t="s">
        <v>1447</v>
      </c>
    </row>
    <row r="190" spans="1:12" x14ac:dyDescent="0.15">
      <c r="B190" s="95"/>
      <c r="C190" s="95" t="s">
        <v>1375</v>
      </c>
      <c r="D190" s="95" t="s">
        <v>584</v>
      </c>
      <c r="E190" s="95"/>
      <c r="F190" s="95" t="s">
        <v>583</v>
      </c>
    </row>
    <row r="191" spans="1:12" x14ac:dyDescent="0.15">
      <c r="B191" s="76" t="s">
        <v>1522</v>
      </c>
      <c r="C191" s="67" t="s">
        <v>1849</v>
      </c>
      <c r="D191" s="67" t="s">
        <v>715</v>
      </c>
      <c r="E191" s="67"/>
      <c r="F191" s="67" t="s">
        <v>1866</v>
      </c>
    </row>
    <row r="192" spans="1:12" x14ac:dyDescent="0.15">
      <c r="B192" s="76" t="s">
        <v>1523</v>
      </c>
      <c r="C192" s="67" t="s">
        <v>150</v>
      </c>
      <c r="D192" s="67" t="s">
        <v>451</v>
      </c>
      <c r="E192" s="67"/>
      <c r="F192" s="67" t="s">
        <v>150</v>
      </c>
    </row>
    <row r="193" spans="2:6" x14ac:dyDescent="0.15">
      <c r="B193" s="84" t="s">
        <v>1524</v>
      </c>
      <c r="C193" s="85" t="s">
        <v>1850</v>
      </c>
      <c r="D193" s="85" t="s">
        <v>1851</v>
      </c>
      <c r="E193" s="85"/>
      <c r="F193" s="85" t="s">
        <v>1850</v>
      </c>
    </row>
    <row r="194" spans="2:6" x14ac:dyDescent="0.15">
      <c r="B194" s="65" t="s">
        <v>267</v>
      </c>
      <c r="C194" s="65" t="s">
        <v>563</v>
      </c>
      <c r="D194" s="65" t="s">
        <v>1445</v>
      </c>
      <c r="E194" s="65" t="s">
        <v>1446</v>
      </c>
      <c r="F194" s="65" t="s">
        <v>1447</v>
      </c>
    </row>
    <row r="195" spans="2:6" x14ac:dyDescent="0.15">
      <c r="B195" s="84" t="s">
        <v>1078</v>
      </c>
      <c r="C195" s="85" t="s">
        <v>667</v>
      </c>
      <c r="D195" s="85" t="s">
        <v>667</v>
      </c>
      <c r="E195" s="85"/>
      <c r="F195" s="85" t="s">
        <v>667</v>
      </c>
    </row>
    <row r="196" spans="2:6" x14ac:dyDescent="0.15">
      <c r="B196" s="84"/>
      <c r="C196" s="85" t="s">
        <v>668</v>
      </c>
      <c r="D196" s="85" t="s">
        <v>668</v>
      </c>
      <c r="E196" s="85"/>
      <c r="F196" s="85" t="s">
        <v>668</v>
      </c>
    </row>
    <row r="197" spans="2:6" x14ac:dyDescent="0.15">
      <c r="B197" s="84" t="s">
        <v>1006</v>
      </c>
      <c r="C197" s="85" t="s">
        <v>1188</v>
      </c>
      <c r="D197" s="85" t="s">
        <v>666</v>
      </c>
      <c r="E197" s="85"/>
      <c r="F197" s="85" t="s">
        <v>666</v>
      </c>
    </row>
    <row r="198" spans="2:6" x14ac:dyDescent="0.15">
      <c r="B198" s="84" t="s">
        <v>1007</v>
      </c>
      <c r="C198" s="85" t="s">
        <v>1189</v>
      </c>
      <c r="D198" s="85" t="s">
        <v>665</v>
      </c>
      <c r="E198" s="85"/>
      <c r="F198" s="85" t="s">
        <v>665</v>
      </c>
    </row>
    <row r="199" spans="2:6" x14ac:dyDescent="0.15">
      <c r="B199" s="65" t="s">
        <v>267</v>
      </c>
      <c r="C199" s="65" t="s">
        <v>563</v>
      </c>
      <c r="D199" s="65" t="s">
        <v>1445</v>
      </c>
      <c r="E199" s="65" t="s">
        <v>1446</v>
      </c>
      <c r="F199" s="65" t="s">
        <v>1447</v>
      </c>
    </row>
    <row r="200" spans="2:6" ht="47.25" x14ac:dyDescent="0.15">
      <c r="B200" s="66" t="s">
        <v>1527</v>
      </c>
      <c r="C200" s="64" t="s">
        <v>1852</v>
      </c>
      <c r="D200" s="70" t="s">
        <v>1857</v>
      </c>
      <c r="E200" s="70" t="s">
        <v>1865</v>
      </c>
      <c r="F200" s="70" t="s">
        <v>676</v>
      </c>
    </row>
    <row r="201" spans="2:6" ht="31.5" x14ac:dyDescent="0.15">
      <c r="B201" s="66" t="s">
        <v>991</v>
      </c>
      <c r="C201" s="64" t="s">
        <v>1853</v>
      </c>
      <c r="D201" s="70" t="s">
        <v>1858</v>
      </c>
      <c r="E201" s="70" t="s">
        <v>1864</v>
      </c>
      <c r="F201" s="70" t="s">
        <v>675</v>
      </c>
    </row>
    <row r="202" spans="2:6" ht="31.5" x14ac:dyDescent="0.15">
      <c r="B202" s="66" t="s">
        <v>992</v>
      </c>
      <c r="C202" s="64" t="s">
        <v>1854</v>
      </c>
      <c r="D202" s="70" t="s">
        <v>1859</v>
      </c>
      <c r="E202" s="70" t="s">
        <v>1863</v>
      </c>
      <c r="F202" s="70" t="s">
        <v>674</v>
      </c>
    </row>
    <row r="203" spans="2:6" x14ac:dyDescent="0.15">
      <c r="B203" s="66" t="s">
        <v>993</v>
      </c>
      <c r="C203" s="64" t="s">
        <v>592</v>
      </c>
      <c r="D203" s="70" t="s">
        <v>593</v>
      </c>
      <c r="E203" s="70" t="s">
        <v>592</v>
      </c>
      <c r="F203" s="70" t="s">
        <v>592</v>
      </c>
    </row>
    <row r="204" spans="2:6" ht="31.5" x14ac:dyDescent="0.15">
      <c r="B204" s="66" t="s">
        <v>994</v>
      </c>
      <c r="C204" s="64" t="s">
        <v>1003</v>
      </c>
      <c r="D204" s="70" t="s">
        <v>402</v>
      </c>
      <c r="E204" s="70" t="s">
        <v>1003</v>
      </c>
      <c r="F204" s="70" t="s">
        <v>595</v>
      </c>
    </row>
    <row r="205" spans="2:6" x14ac:dyDescent="0.15">
      <c r="B205" s="66" t="s">
        <v>995</v>
      </c>
      <c r="C205" s="64" t="s">
        <v>1004</v>
      </c>
      <c r="D205" s="70" t="s">
        <v>1689</v>
      </c>
      <c r="E205" s="70" t="s">
        <v>1004</v>
      </c>
      <c r="F205" s="70" t="s">
        <v>594</v>
      </c>
    </row>
    <row r="206" spans="2:6" x14ac:dyDescent="0.15">
      <c r="B206" s="66" t="s">
        <v>996</v>
      </c>
      <c r="C206" s="64" t="s">
        <v>596</v>
      </c>
      <c r="D206" s="70" t="s">
        <v>1949</v>
      </c>
      <c r="E206" s="70" t="s">
        <v>596</v>
      </c>
      <c r="F206" s="70" t="s">
        <v>596</v>
      </c>
    </row>
    <row r="207" spans="2:6" x14ac:dyDescent="0.15">
      <c r="B207" s="66" t="s">
        <v>997</v>
      </c>
      <c r="C207" s="64" t="s">
        <v>1005</v>
      </c>
      <c r="D207" s="70" t="s">
        <v>489</v>
      </c>
      <c r="E207" s="70" t="s">
        <v>1005</v>
      </c>
      <c r="F207" s="70" t="s">
        <v>598</v>
      </c>
    </row>
    <row r="208" spans="2:6" ht="31.5" x14ac:dyDescent="0.15">
      <c r="B208" s="66" t="s">
        <v>998</v>
      </c>
      <c r="C208" s="70" t="s">
        <v>1855</v>
      </c>
      <c r="D208" s="70" t="s">
        <v>1861</v>
      </c>
      <c r="E208" s="70" t="s">
        <v>1862</v>
      </c>
      <c r="F208" s="70" t="s">
        <v>597</v>
      </c>
    </row>
    <row r="209" spans="1:6" x14ac:dyDescent="0.15">
      <c r="B209" s="66" t="s">
        <v>999</v>
      </c>
      <c r="C209" s="64" t="s">
        <v>1856</v>
      </c>
      <c r="D209" s="70" t="s">
        <v>1860</v>
      </c>
      <c r="E209" s="70" t="s">
        <v>1856</v>
      </c>
      <c r="F209" s="70" t="s">
        <v>714</v>
      </c>
    </row>
    <row r="210" spans="1:6" x14ac:dyDescent="0.15">
      <c r="B210" s="86" t="s">
        <v>1528</v>
      </c>
      <c r="C210" s="555" t="s">
        <v>672</v>
      </c>
      <c r="D210" s="556" t="s">
        <v>673</v>
      </c>
      <c r="E210" s="556" t="s">
        <v>672</v>
      </c>
      <c r="F210" s="556" t="s">
        <v>672</v>
      </c>
    </row>
    <row r="211" spans="1:6" ht="31.5" x14ac:dyDescent="0.15">
      <c r="B211" s="86" t="s">
        <v>1528</v>
      </c>
      <c r="C211" s="555" t="s">
        <v>1000</v>
      </c>
      <c r="D211" s="556" t="s">
        <v>1002</v>
      </c>
      <c r="E211" s="556" t="s">
        <v>1000</v>
      </c>
      <c r="F211" s="556" t="s">
        <v>872</v>
      </c>
    </row>
    <row r="212" spans="1:6" x14ac:dyDescent="0.15">
      <c r="B212" s="86" t="s">
        <v>1528</v>
      </c>
      <c r="C212" s="555" t="s">
        <v>670</v>
      </c>
      <c r="D212" s="556" t="s">
        <v>401</v>
      </c>
      <c r="E212" s="556" t="s">
        <v>670</v>
      </c>
      <c r="F212" s="556" t="s">
        <v>670</v>
      </c>
    </row>
    <row r="213" spans="1:6" ht="31.5" x14ac:dyDescent="0.15">
      <c r="B213" s="86" t="s">
        <v>1528</v>
      </c>
      <c r="C213" s="555" t="s">
        <v>1413</v>
      </c>
      <c r="D213" s="556" t="s">
        <v>1001</v>
      </c>
      <c r="E213" s="556" t="s">
        <v>1413</v>
      </c>
      <c r="F213" s="556" t="s">
        <v>871</v>
      </c>
    </row>
    <row r="214" spans="1:6" x14ac:dyDescent="0.15">
      <c r="B214" s="65" t="s">
        <v>316</v>
      </c>
      <c r="C214" s="65" t="s">
        <v>563</v>
      </c>
      <c r="D214" s="65" t="s">
        <v>1445</v>
      </c>
      <c r="E214" s="65" t="s">
        <v>1446</v>
      </c>
      <c r="F214" s="65" t="s">
        <v>1447</v>
      </c>
    </row>
    <row r="215" spans="1:6" x14ac:dyDescent="0.15">
      <c r="B215" s="66"/>
      <c r="C215" s="66" t="s">
        <v>157</v>
      </c>
      <c r="D215" s="66" t="s">
        <v>158</v>
      </c>
      <c r="E215" s="66"/>
      <c r="F215" s="66" t="s">
        <v>457</v>
      </c>
    </row>
    <row r="216" spans="1:6" x14ac:dyDescent="0.15">
      <c r="B216" s="22"/>
      <c r="C216" s="22"/>
      <c r="D216" s="22"/>
      <c r="E216" s="22"/>
      <c r="F216" s="22"/>
    </row>
    <row r="217" spans="1:6" x14ac:dyDescent="0.15">
      <c r="A217" s="20" t="s">
        <v>1058</v>
      </c>
    </row>
    <row r="218" spans="1:6" x14ac:dyDescent="0.15">
      <c r="B218" s="65" t="s">
        <v>316</v>
      </c>
      <c r="C218" s="65" t="s">
        <v>563</v>
      </c>
      <c r="D218" s="65" t="s">
        <v>1445</v>
      </c>
      <c r="E218" s="65" t="s">
        <v>1446</v>
      </c>
      <c r="F218" s="65" t="s">
        <v>1447</v>
      </c>
    </row>
    <row r="219" spans="1:6" x14ac:dyDescent="0.15">
      <c r="B219" s="95"/>
      <c r="C219" s="98" t="s">
        <v>1067</v>
      </c>
      <c r="D219" s="99" t="s">
        <v>1872</v>
      </c>
      <c r="E219" s="99"/>
      <c r="F219" s="99" t="s">
        <v>573</v>
      </c>
    </row>
    <row r="220" spans="1:6" x14ac:dyDescent="0.15">
      <c r="B220" s="86"/>
      <c r="C220" s="85"/>
      <c r="D220" s="556"/>
      <c r="E220" s="556"/>
      <c r="F220" s="556"/>
    </row>
    <row r="221" spans="1:6" x14ac:dyDescent="0.15">
      <c r="B221" s="86" t="s">
        <v>606</v>
      </c>
      <c r="C221" s="555" t="s">
        <v>349</v>
      </c>
      <c r="D221" s="556" t="s">
        <v>163</v>
      </c>
      <c r="E221" s="556" t="s">
        <v>1015</v>
      </c>
      <c r="F221" s="556" t="s">
        <v>349</v>
      </c>
    </row>
    <row r="222" spans="1:6" x14ac:dyDescent="0.15">
      <c r="B222" s="86" t="s">
        <v>607</v>
      </c>
      <c r="C222" s="85" t="s">
        <v>164</v>
      </c>
      <c r="D222" s="556" t="s">
        <v>165</v>
      </c>
      <c r="E222" s="556" t="s">
        <v>164</v>
      </c>
      <c r="F222" s="556" t="s">
        <v>164</v>
      </c>
    </row>
    <row r="224" spans="1:6" x14ac:dyDescent="0.15">
      <c r="A224" s="20" t="s">
        <v>1068</v>
      </c>
    </row>
    <row r="225" spans="1:6" x14ac:dyDescent="0.15">
      <c r="B225" s="65" t="s">
        <v>316</v>
      </c>
      <c r="C225" s="65" t="s">
        <v>563</v>
      </c>
      <c r="D225" s="65" t="s">
        <v>1445</v>
      </c>
      <c r="E225" s="65" t="s">
        <v>1446</v>
      </c>
      <c r="F225" s="65" t="s">
        <v>1447</v>
      </c>
    </row>
    <row r="226" spans="1:6" ht="31.5" x14ac:dyDescent="0.15">
      <c r="B226" s="95"/>
      <c r="C226" s="99" t="s">
        <v>1867</v>
      </c>
      <c r="D226" s="99" t="s">
        <v>1868</v>
      </c>
      <c r="E226" s="99" t="s">
        <v>1867</v>
      </c>
      <c r="F226" s="99" t="s">
        <v>1869</v>
      </c>
    </row>
    <row r="227" spans="1:6" x14ac:dyDescent="0.15">
      <c r="B227" s="66" t="s">
        <v>716</v>
      </c>
      <c r="C227" s="66" t="s">
        <v>166</v>
      </c>
      <c r="D227" s="76" t="s">
        <v>167</v>
      </c>
      <c r="E227" s="66" t="s">
        <v>166</v>
      </c>
      <c r="F227" s="76" t="s">
        <v>46</v>
      </c>
    </row>
    <row r="228" spans="1:6" x14ac:dyDescent="0.15">
      <c r="B228" s="66" t="s">
        <v>717</v>
      </c>
      <c r="C228" s="66" t="s">
        <v>168</v>
      </c>
      <c r="D228" s="76" t="s">
        <v>169</v>
      </c>
      <c r="E228" s="66" t="s">
        <v>168</v>
      </c>
      <c r="F228" s="76" t="s">
        <v>168</v>
      </c>
    </row>
    <row r="229" spans="1:6" x14ac:dyDescent="0.15">
      <c r="B229" s="66" t="s">
        <v>609</v>
      </c>
      <c r="C229" s="66" t="s">
        <v>170</v>
      </c>
      <c r="D229" s="76" t="s">
        <v>47</v>
      </c>
      <c r="E229" s="66" t="s">
        <v>47</v>
      </c>
      <c r="F229" s="76" t="s">
        <v>170</v>
      </c>
    </row>
    <row r="230" spans="1:6" x14ac:dyDescent="0.15">
      <c r="B230" s="65" t="s">
        <v>267</v>
      </c>
      <c r="C230" s="65" t="s">
        <v>563</v>
      </c>
      <c r="D230" s="65" t="s">
        <v>1445</v>
      </c>
      <c r="E230" s="65" t="s">
        <v>1446</v>
      </c>
      <c r="F230" s="65" t="s">
        <v>1447</v>
      </c>
    </row>
    <row r="231" spans="1:6" ht="31.5" x14ac:dyDescent="0.15">
      <c r="B231" s="66" t="s">
        <v>608</v>
      </c>
      <c r="C231" s="64" t="s">
        <v>958</v>
      </c>
      <c r="D231" s="70" t="s">
        <v>1690</v>
      </c>
      <c r="E231" s="64" t="s">
        <v>1008</v>
      </c>
      <c r="F231" s="70" t="s">
        <v>350</v>
      </c>
    </row>
    <row r="232" spans="1:6" ht="53.25" customHeight="1" x14ac:dyDescent="0.15">
      <c r="B232" s="66" t="s">
        <v>610</v>
      </c>
      <c r="C232" s="64" t="s">
        <v>960</v>
      </c>
      <c r="D232" s="70" t="s">
        <v>1691</v>
      </c>
      <c r="E232" s="64" t="s">
        <v>1009</v>
      </c>
      <c r="F232" s="70" t="s">
        <v>959</v>
      </c>
    </row>
    <row r="233" spans="1:6" ht="55.5" customHeight="1" x14ac:dyDescent="0.15">
      <c r="B233" s="66" t="s">
        <v>611</v>
      </c>
      <c r="C233" s="64" t="s">
        <v>961</v>
      </c>
      <c r="D233" s="70" t="s">
        <v>1692</v>
      </c>
      <c r="E233" s="64" t="s">
        <v>1010</v>
      </c>
      <c r="F233" s="70" t="s">
        <v>352</v>
      </c>
    </row>
    <row r="234" spans="1:6" ht="31.5" x14ac:dyDescent="0.15">
      <c r="B234" s="66" t="s">
        <v>612</v>
      </c>
      <c r="C234" s="64" t="s">
        <v>962</v>
      </c>
      <c r="D234" s="70" t="s">
        <v>1690</v>
      </c>
      <c r="E234" s="64" t="s">
        <v>1011</v>
      </c>
      <c r="F234" s="70" t="s">
        <v>350</v>
      </c>
    </row>
    <row r="235" spans="1:6" ht="47.25" x14ac:dyDescent="0.15">
      <c r="B235" s="66" t="s">
        <v>613</v>
      </c>
      <c r="C235" s="64" t="s">
        <v>960</v>
      </c>
      <c r="D235" s="70" t="s">
        <v>1691</v>
      </c>
      <c r="E235" s="64" t="s">
        <v>1012</v>
      </c>
      <c r="F235" s="70" t="s">
        <v>351</v>
      </c>
    </row>
    <row r="236" spans="1:6" ht="47.25" x14ac:dyDescent="0.15">
      <c r="B236" s="66" t="s">
        <v>614</v>
      </c>
      <c r="C236" s="64" t="s">
        <v>961</v>
      </c>
      <c r="D236" s="70" t="s">
        <v>1692</v>
      </c>
      <c r="E236" s="64" t="s">
        <v>1013</v>
      </c>
      <c r="F236" s="70" t="s">
        <v>352</v>
      </c>
    </row>
    <row r="237" spans="1:6" ht="31.5" x14ac:dyDescent="0.15">
      <c r="B237" s="66" t="s">
        <v>615</v>
      </c>
      <c r="C237" s="64" t="s">
        <v>963</v>
      </c>
      <c r="D237" s="70" t="s">
        <v>1693</v>
      </c>
      <c r="E237" s="64" t="s">
        <v>1014</v>
      </c>
      <c r="F237" s="70" t="s">
        <v>353</v>
      </c>
    </row>
    <row r="239" spans="1:6" x14ac:dyDescent="0.15">
      <c r="A239" s="20" t="s">
        <v>567</v>
      </c>
    </row>
    <row r="240" spans="1:6" x14ac:dyDescent="0.15">
      <c r="B240" s="65" t="s">
        <v>316</v>
      </c>
      <c r="C240" s="65" t="s">
        <v>563</v>
      </c>
      <c r="D240" s="65" t="s">
        <v>1445</v>
      </c>
      <c r="E240" s="65" t="s">
        <v>1446</v>
      </c>
      <c r="F240" s="65" t="s">
        <v>1447</v>
      </c>
    </row>
    <row r="241" spans="2:6" ht="13.5" customHeight="1" x14ac:dyDescent="0.15">
      <c r="B241" s="95"/>
      <c r="C241" s="96" t="s">
        <v>1341</v>
      </c>
      <c r="D241" s="96" t="s">
        <v>572</v>
      </c>
      <c r="E241" s="96"/>
      <c r="F241" s="96" t="s">
        <v>572</v>
      </c>
    </row>
    <row r="242" spans="2:6" x14ac:dyDescent="0.15">
      <c r="B242" s="86" t="s">
        <v>719</v>
      </c>
      <c r="C242" s="85" t="s">
        <v>160</v>
      </c>
      <c r="D242" s="85" t="s">
        <v>161</v>
      </c>
      <c r="E242" s="85"/>
      <c r="F242" s="85" t="s">
        <v>347</v>
      </c>
    </row>
    <row r="243" spans="2:6" x14ac:dyDescent="0.15">
      <c r="B243" s="66" t="s">
        <v>718</v>
      </c>
      <c r="C243" s="67" t="s">
        <v>1419</v>
      </c>
      <c r="D243" s="67" t="s">
        <v>711</v>
      </c>
      <c r="E243" s="67"/>
      <c r="F243" s="67" t="s">
        <v>710</v>
      </c>
    </row>
    <row r="244" spans="2:6" x14ac:dyDescent="0.15">
      <c r="B244" s="65" t="s">
        <v>316</v>
      </c>
      <c r="C244" s="65" t="s">
        <v>563</v>
      </c>
      <c r="D244" s="65" t="s">
        <v>1445</v>
      </c>
      <c r="E244" s="65" t="s">
        <v>1446</v>
      </c>
      <c r="F244" s="65" t="s">
        <v>1447</v>
      </c>
    </row>
    <row r="245" spans="2:6" x14ac:dyDescent="0.15">
      <c r="B245" s="87"/>
      <c r="C245" s="88" t="s">
        <v>329</v>
      </c>
      <c r="D245" s="89" t="s">
        <v>713</v>
      </c>
      <c r="E245" s="89"/>
      <c r="F245" s="89" t="s">
        <v>405</v>
      </c>
    </row>
    <row r="246" spans="2:6" x14ac:dyDescent="0.15">
      <c r="B246" s="87"/>
      <c r="C246" s="88" t="s">
        <v>330</v>
      </c>
      <c r="D246" s="89" t="s">
        <v>712</v>
      </c>
      <c r="E246" s="89"/>
      <c r="F246" s="89" t="s">
        <v>403</v>
      </c>
    </row>
    <row r="247" spans="2:6" x14ac:dyDescent="0.15">
      <c r="B247" s="65" t="s">
        <v>316</v>
      </c>
      <c r="C247" s="65" t="s">
        <v>563</v>
      </c>
      <c r="D247" s="65" t="s">
        <v>1445</v>
      </c>
      <c r="E247" s="65" t="s">
        <v>1446</v>
      </c>
      <c r="F247" s="65" t="s">
        <v>1447</v>
      </c>
    </row>
    <row r="248" spans="2:6" ht="13.5" customHeight="1" x14ac:dyDescent="0.15">
      <c r="B248" s="95" t="s">
        <v>616</v>
      </c>
      <c r="C248" s="95"/>
      <c r="D248" s="95"/>
      <c r="E248" s="95"/>
      <c r="F248" s="95"/>
    </row>
    <row r="249" spans="2:6" ht="31.5" x14ac:dyDescent="0.15">
      <c r="B249" s="66" t="s">
        <v>1016</v>
      </c>
      <c r="C249" s="70" t="s">
        <v>348</v>
      </c>
      <c r="D249" s="70" t="s">
        <v>1873</v>
      </c>
      <c r="E249" s="70" t="s">
        <v>1880</v>
      </c>
      <c r="F249" s="70" t="s">
        <v>348</v>
      </c>
    </row>
    <row r="250" spans="2:6" ht="31.5" x14ac:dyDescent="0.15">
      <c r="B250" s="66" t="s">
        <v>1017</v>
      </c>
      <c r="C250" s="70" t="s">
        <v>43</v>
      </c>
      <c r="D250" s="70" t="s">
        <v>1874</v>
      </c>
      <c r="E250" s="70" t="s">
        <v>1881</v>
      </c>
      <c r="F250" s="70" t="s">
        <v>43</v>
      </c>
    </row>
    <row r="251" spans="2:6" ht="31.5" x14ac:dyDescent="0.15">
      <c r="B251" s="66" t="s">
        <v>1018</v>
      </c>
      <c r="C251" s="70" t="s">
        <v>44</v>
      </c>
      <c r="D251" s="70" t="s">
        <v>1875</v>
      </c>
      <c r="E251" s="70" t="s">
        <v>1882</v>
      </c>
      <c r="F251" s="70" t="s">
        <v>44</v>
      </c>
    </row>
    <row r="252" spans="2:6" ht="31.5" x14ac:dyDescent="0.15">
      <c r="B252" s="66" t="s">
        <v>1019</v>
      </c>
      <c r="C252" s="70" t="s">
        <v>45</v>
      </c>
      <c r="D252" s="70" t="s">
        <v>1876</v>
      </c>
      <c r="E252" s="70" t="s">
        <v>1883</v>
      </c>
      <c r="F252" s="70" t="s">
        <v>45</v>
      </c>
    </row>
    <row r="253" spans="2:6" ht="31.5" x14ac:dyDescent="0.15">
      <c r="B253" s="66" t="s">
        <v>1020</v>
      </c>
      <c r="C253" s="70" t="s">
        <v>1414</v>
      </c>
      <c r="D253" s="70" t="s">
        <v>1877</v>
      </c>
      <c r="E253" s="70" t="s">
        <v>1884</v>
      </c>
      <c r="F253" s="70" t="s">
        <v>331</v>
      </c>
    </row>
    <row r="254" spans="2:6" ht="31.5" x14ac:dyDescent="0.15">
      <c r="B254" s="66" t="s">
        <v>1021</v>
      </c>
      <c r="C254" s="70" t="s">
        <v>332</v>
      </c>
      <c r="D254" s="70" t="s">
        <v>1878</v>
      </c>
      <c r="E254" s="70" t="s">
        <v>1885</v>
      </c>
      <c r="F254" s="70" t="s">
        <v>332</v>
      </c>
    </row>
    <row r="255" spans="2:6" ht="31.5" x14ac:dyDescent="0.15">
      <c r="B255" s="66" t="s">
        <v>1022</v>
      </c>
      <c r="C255" s="70" t="s">
        <v>333</v>
      </c>
      <c r="D255" s="70" t="s">
        <v>1879</v>
      </c>
      <c r="E255" s="70" t="s">
        <v>1886</v>
      </c>
      <c r="F255" s="70" t="s">
        <v>333</v>
      </c>
    </row>
    <row r="256" spans="2:6" x14ac:dyDescent="0.15">
      <c r="B256" s="65" t="s">
        <v>267</v>
      </c>
      <c r="C256" s="65" t="s">
        <v>563</v>
      </c>
      <c r="D256" s="65" t="s">
        <v>1445</v>
      </c>
      <c r="E256" s="65" t="s">
        <v>1446</v>
      </c>
      <c r="F256" s="65" t="s">
        <v>1447</v>
      </c>
    </row>
    <row r="257" spans="1:6" ht="13.5" customHeight="1" x14ac:dyDescent="0.15">
      <c r="B257" s="95" t="s">
        <v>334</v>
      </c>
      <c r="C257" s="95"/>
      <c r="D257" s="95"/>
      <c r="E257" s="95"/>
      <c r="F257" s="95"/>
    </row>
    <row r="258" spans="1:6" ht="31.5" x14ac:dyDescent="0.15">
      <c r="B258" s="66" t="s">
        <v>1023</v>
      </c>
      <c r="C258" s="70" t="s">
        <v>268</v>
      </c>
      <c r="D258" s="70" t="s">
        <v>1894</v>
      </c>
      <c r="E258" s="70" t="s">
        <v>1887</v>
      </c>
      <c r="F258" s="70" t="s">
        <v>268</v>
      </c>
    </row>
    <row r="259" spans="1:6" ht="31.5" x14ac:dyDescent="0.15">
      <c r="B259" s="66" t="s">
        <v>1024</v>
      </c>
      <c r="C259" s="70" t="s">
        <v>43</v>
      </c>
      <c r="D259" s="70" t="s">
        <v>1895</v>
      </c>
      <c r="E259" s="70" t="s">
        <v>1888</v>
      </c>
      <c r="F259" s="70" t="s">
        <v>43</v>
      </c>
    </row>
    <row r="260" spans="1:6" ht="31.5" x14ac:dyDescent="0.15">
      <c r="B260" s="66" t="s">
        <v>1025</v>
      </c>
      <c r="C260" s="70" t="s">
        <v>44</v>
      </c>
      <c r="D260" s="70" t="s">
        <v>1896</v>
      </c>
      <c r="E260" s="70" t="s">
        <v>1889</v>
      </c>
      <c r="F260" s="70" t="s">
        <v>44</v>
      </c>
    </row>
    <row r="261" spans="1:6" ht="31.5" x14ac:dyDescent="0.15">
      <c r="B261" s="66" t="s">
        <v>1026</v>
      </c>
      <c r="C261" s="70" t="s">
        <v>45</v>
      </c>
      <c r="D261" s="70" t="s">
        <v>1897</v>
      </c>
      <c r="E261" s="70" t="s">
        <v>1890</v>
      </c>
      <c r="F261" s="70" t="s">
        <v>45</v>
      </c>
    </row>
    <row r="262" spans="1:6" ht="31.5" x14ac:dyDescent="0.15">
      <c r="B262" s="66" t="s">
        <v>1027</v>
      </c>
      <c r="C262" s="70" t="s">
        <v>1414</v>
      </c>
      <c r="D262" s="70" t="s">
        <v>1898</v>
      </c>
      <c r="E262" s="70" t="s">
        <v>1891</v>
      </c>
      <c r="F262" s="70" t="s">
        <v>331</v>
      </c>
    </row>
    <row r="263" spans="1:6" ht="31.5" x14ac:dyDescent="0.15">
      <c r="B263" s="66" t="s">
        <v>1028</v>
      </c>
      <c r="C263" s="70" t="s">
        <v>332</v>
      </c>
      <c r="D263" s="70" t="s">
        <v>1899</v>
      </c>
      <c r="E263" s="70" t="s">
        <v>1892</v>
      </c>
      <c r="F263" s="70" t="s">
        <v>332</v>
      </c>
    </row>
    <row r="264" spans="1:6" ht="31.5" x14ac:dyDescent="0.15">
      <c r="B264" s="66" t="s">
        <v>1029</v>
      </c>
      <c r="C264" s="70" t="s">
        <v>333</v>
      </c>
      <c r="D264" s="70" t="s">
        <v>1900</v>
      </c>
      <c r="E264" s="70" t="s">
        <v>1893</v>
      </c>
      <c r="F264" s="70" t="s">
        <v>333</v>
      </c>
    </row>
    <row r="266" spans="1:6" x14ac:dyDescent="0.15">
      <c r="A266" s="20" t="s">
        <v>1763</v>
      </c>
    </row>
    <row r="267" spans="1:6" x14ac:dyDescent="0.15">
      <c r="B267" s="65" t="s">
        <v>316</v>
      </c>
      <c r="C267" s="65" t="s">
        <v>563</v>
      </c>
      <c r="D267" s="65" t="s">
        <v>1445</v>
      </c>
      <c r="E267" s="65" t="s">
        <v>1446</v>
      </c>
      <c r="F267" s="65" t="s">
        <v>1447</v>
      </c>
    </row>
    <row r="268" spans="1:6" x14ac:dyDescent="0.15">
      <c r="B268" s="95"/>
      <c r="C268" s="96" t="s">
        <v>1416</v>
      </c>
      <c r="D268" s="96" t="s">
        <v>1416</v>
      </c>
      <c r="E268" s="96" t="s">
        <v>1416</v>
      </c>
      <c r="F268" s="96" t="s">
        <v>1111</v>
      </c>
    </row>
    <row r="269" spans="1:6" x14ac:dyDescent="0.15">
      <c r="B269" s="66" t="s">
        <v>617</v>
      </c>
      <c r="C269" s="64" t="s">
        <v>1300</v>
      </c>
      <c r="D269" s="70" t="s">
        <v>1694</v>
      </c>
      <c r="E269" s="70" t="s">
        <v>1115</v>
      </c>
      <c r="F269" s="70" t="s">
        <v>1112</v>
      </c>
    </row>
    <row r="270" spans="1:6" ht="31.5" x14ac:dyDescent="0.15">
      <c r="B270" s="66" t="s">
        <v>618</v>
      </c>
      <c r="C270" s="64" t="s">
        <v>1301</v>
      </c>
      <c r="D270" s="70" t="s">
        <v>1695</v>
      </c>
      <c r="E270" s="70" t="s">
        <v>1116</v>
      </c>
      <c r="F270" s="70" t="s">
        <v>1113</v>
      </c>
    </row>
    <row r="271" spans="1:6" ht="31.5" x14ac:dyDescent="0.15">
      <c r="B271" s="66" t="s">
        <v>619</v>
      </c>
      <c r="C271" s="78" t="s">
        <v>1444</v>
      </c>
      <c r="D271" s="83" t="s">
        <v>1696</v>
      </c>
      <c r="E271" s="83" t="s">
        <v>1117</v>
      </c>
      <c r="F271" s="83" t="s">
        <v>1114</v>
      </c>
    </row>
    <row r="272" spans="1:6" x14ac:dyDescent="0.15">
      <c r="B272" s="66" t="s">
        <v>620</v>
      </c>
      <c r="C272" s="64" t="s">
        <v>1299</v>
      </c>
      <c r="D272" s="70" t="s">
        <v>162</v>
      </c>
      <c r="E272" s="70" t="s">
        <v>1171</v>
      </c>
      <c r="F272" s="70" t="s">
        <v>1118</v>
      </c>
    </row>
    <row r="274" spans="1:6" x14ac:dyDescent="0.15">
      <c r="A274" s="20" t="s">
        <v>1417</v>
      </c>
    </row>
    <row r="275" spans="1:6" x14ac:dyDescent="0.15">
      <c r="B275" s="65" t="s">
        <v>316</v>
      </c>
      <c r="C275" s="65" t="s">
        <v>563</v>
      </c>
      <c r="D275" s="65" t="s">
        <v>1445</v>
      </c>
      <c r="E275" s="65" t="s">
        <v>1446</v>
      </c>
      <c r="F275" s="65" t="s">
        <v>1447</v>
      </c>
    </row>
    <row r="276" spans="1:6" x14ac:dyDescent="0.15">
      <c r="B276" s="95"/>
      <c r="C276" s="100" t="s">
        <v>1297</v>
      </c>
      <c r="D276" s="99" t="s">
        <v>571</v>
      </c>
      <c r="E276" s="95" t="s">
        <v>956</v>
      </c>
      <c r="F276" s="95" t="s">
        <v>585</v>
      </c>
    </row>
    <row r="277" spans="1:6" x14ac:dyDescent="0.15">
      <c r="B277" s="66" t="s">
        <v>621</v>
      </c>
      <c r="C277" s="69" t="s">
        <v>1901</v>
      </c>
      <c r="D277" s="69" t="s">
        <v>1902</v>
      </c>
      <c r="E277" s="67"/>
      <c r="F277" s="67" t="s">
        <v>443</v>
      </c>
    </row>
    <row r="278" spans="1:6" x14ac:dyDescent="0.15">
      <c r="B278" s="66" t="s">
        <v>622</v>
      </c>
      <c r="C278" s="66" t="s">
        <v>1030</v>
      </c>
      <c r="D278" s="66" t="s">
        <v>1030</v>
      </c>
      <c r="E278" s="66"/>
      <c r="F278" s="66" t="s">
        <v>661</v>
      </c>
    </row>
    <row r="279" spans="1:6" x14ac:dyDescent="0.15">
      <c r="B279" s="66" t="s">
        <v>623</v>
      </c>
      <c r="C279" s="66" t="s">
        <v>1031</v>
      </c>
      <c r="D279" s="66" t="s">
        <v>1035</v>
      </c>
      <c r="E279" s="66"/>
      <c r="F279" s="66" t="s">
        <v>891</v>
      </c>
    </row>
    <row r="280" spans="1:6" x14ac:dyDescent="0.15">
      <c r="B280" s="66" t="s">
        <v>624</v>
      </c>
      <c r="C280" s="66" t="s">
        <v>1032</v>
      </c>
      <c r="D280" s="66" t="s">
        <v>1074</v>
      </c>
      <c r="E280" s="66"/>
      <c r="F280" s="66" t="s">
        <v>892</v>
      </c>
    </row>
    <row r="281" spans="1:6" x14ac:dyDescent="0.15">
      <c r="B281" s="66" t="s">
        <v>625</v>
      </c>
      <c r="C281" s="66" t="s">
        <v>1033</v>
      </c>
      <c r="D281" s="66" t="s">
        <v>1075</v>
      </c>
      <c r="E281" s="66"/>
      <c r="F281" s="66" t="s">
        <v>893</v>
      </c>
    </row>
    <row r="282" spans="1:6" x14ac:dyDescent="0.15">
      <c r="B282" s="66" t="s">
        <v>626</v>
      </c>
      <c r="C282" s="66" t="s">
        <v>1034</v>
      </c>
      <c r="D282" s="66" t="s">
        <v>1038</v>
      </c>
      <c r="E282" s="66"/>
      <c r="F282" s="66" t="s">
        <v>894</v>
      </c>
    </row>
    <row r="283" spans="1:6" x14ac:dyDescent="0.15">
      <c r="B283" s="66" t="s">
        <v>627</v>
      </c>
      <c r="C283" s="66" t="s">
        <v>1036</v>
      </c>
      <c r="D283" s="66" t="s">
        <v>1036</v>
      </c>
      <c r="E283" s="66"/>
      <c r="F283" s="66" t="s">
        <v>895</v>
      </c>
    </row>
    <row r="284" spans="1:6" x14ac:dyDescent="0.15">
      <c r="B284" s="66" t="s">
        <v>628</v>
      </c>
      <c r="C284" s="66" t="s">
        <v>1037</v>
      </c>
      <c r="D284" s="66" t="s">
        <v>1037</v>
      </c>
      <c r="E284" s="66"/>
      <c r="F284" s="66" t="s">
        <v>910</v>
      </c>
    </row>
    <row r="285" spans="1:6" x14ac:dyDescent="0.15">
      <c r="B285" s="66" t="s">
        <v>629</v>
      </c>
      <c r="C285" s="66" t="s">
        <v>1097</v>
      </c>
      <c r="D285" s="66" t="s">
        <v>1097</v>
      </c>
      <c r="E285" s="66"/>
      <c r="F285" s="66" t="s">
        <v>896</v>
      </c>
    </row>
    <row r="286" spans="1:6" x14ac:dyDescent="0.15">
      <c r="B286" s="66" t="s">
        <v>630</v>
      </c>
      <c r="C286" s="66" t="s">
        <v>1077</v>
      </c>
      <c r="D286" s="66" t="s">
        <v>1076</v>
      </c>
      <c r="E286" s="66"/>
      <c r="F286" s="66" t="s">
        <v>897</v>
      </c>
    </row>
    <row r="287" spans="1:6" x14ac:dyDescent="0.15">
      <c r="B287" s="66" t="s">
        <v>631</v>
      </c>
      <c r="C287" s="66" t="s">
        <v>1039</v>
      </c>
      <c r="D287" s="66" t="s">
        <v>1039</v>
      </c>
      <c r="E287" s="66"/>
      <c r="F287" s="66" t="s">
        <v>898</v>
      </c>
    </row>
    <row r="288" spans="1:6" x14ac:dyDescent="0.15">
      <c r="B288" s="66" t="s">
        <v>632</v>
      </c>
      <c r="C288" s="66" t="s">
        <v>1040</v>
      </c>
      <c r="D288" s="66" t="s">
        <v>1040</v>
      </c>
      <c r="E288" s="66"/>
      <c r="F288" s="66" t="s">
        <v>899</v>
      </c>
    </row>
    <row r="289" spans="2:6" x14ac:dyDescent="0.15">
      <c r="B289" s="66" t="s">
        <v>633</v>
      </c>
      <c r="C289" s="66" t="s">
        <v>1041</v>
      </c>
      <c r="D289" s="66" t="s">
        <v>1041</v>
      </c>
      <c r="E289" s="67"/>
      <c r="F289" s="67" t="s">
        <v>884</v>
      </c>
    </row>
    <row r="290" spans="2:6" x14ac:dyDescent="0.15">
      <c r="B290" s="66" t="s">
        <v>634</v>
      </c>
      <c r="C290" s="67" t="s">
        <v>1042</v>
      </c>
      <c r="D290" s="67" t="s">
        <v>1042</v>
      </c>
      <c r="E290" s="67"/>
      <c r="F290" s="67" t="s">
        <v>885</v>
      </c>
    </row>
    <row r="291" spans="2:6" x14ac:dyDescent="0.15">
      <c r="B291" s="66" t="s">
        <v>635</v>
      </c>
      <c r="C291" s="67" t="s">
        <v>1043</v>
      </c>
      <c r="D291" s="67" t="s">
        <v>1043</v>
      </c>
      <c r="E291" s="67"/>
      <c r="F291" s="67" t="s">
        <v>900</v>
      </c>
    </row>
    <row r="292" spans="2:6" x14ac:dyDescent="0.15">
      <c r="B292" s="66" t="s">
        <v>636</v>
      </c>
      <c r="C292" s="67" t="s">
        <v>915</v>
      </c>
      <c r="D292" s="67" t="s">
        <v>915</v>
      </c>
      <c r="E292" s="67"/>
      <c r="F292" s="67" t="s">
        <v>901</v>
      </c>
    </row>
    <row r="293" spans="2:6" x14ac:dyDescent="0.15">
      <c r="B293" s="66" t="s">
        <v>637</v>
      </c>
      <c r="C293" s="67" t="s">
        <v>43</v>
      </c>
      <c r="D293" s="67" t="s">
        <v>43</v>
      </c>
      <c r="E293" s="67"/>
      <c r="F293" s="67" t="s">
        <v>43</v>
      </c>
    </row>
    <row r="294" spans="2:6" x14ac:dyDescent="0.15">
      <c r="B294" s="66" t="s">
        <v>638</v>
      </c>
      <c r="C294" s="67" t="s">
        <v>44</v>
      </c>
      <c r="D294" s="67" t="s">
        <v>44</v>
      </c>
      <c r="E294" s="67"/>
      <c r="F294" s="67" t="s">
        <v>44</v>
      </c>
    </row>
    <row r="295" spans="2:6" ht="13.5" customHeight="1" x14ac:dyDescent="0.15">
      <c r="B295" s="65" t="s">
        <v>316</v>
      </c>
      <c r="C295" s="65" t="s">
        <v>563</v>
      </c>
      <c r="D295" s="65" t="s">
        <v>1445</v>
      </c>
      <c r="E295" s="65" t="s">
        <v>1446</v>
      </c>
      <c r="F295" s="65" t="s">
        <v>1447</v>
      </c>
    </row>
    <row r="296" spans="2:6" ht="13.5" customHeight="1" x14ac:dyDescent="0.15">
      <c r="B296" s="96"/>
      <c r="C296" s="101" t="s">
        <v>1045</v>
      </c>
      <c r="D296" s="96"/>
      <c r="E296" s="96"/>
      <c r="F296" s="96"/>
    </row>
    <row r="297" spans="2:6" x14ac:dyDescent="0.15">
      <c r="B297" s="66" t="s">
        <v>621</v>
      </c>
      <c r="C297" s="92" t="s">
        <v>1044</v>
      </c>
      <c r="D297" s="69"/>
      <c r="E297" s="67"/>
      <c r="F297" s="67"/>
    </row>
    <row r="298" spans="2:6" x14ac:dyDescent="0.15">
      <c r="B298" s="66" t="s">
        <v>622</v>
      </c>
      <c r="C298" s="66" t="s">
        <v>1046</v>
      </c>
      <c r="D298" s="66"/>
      <c r="E298" s="66"/>
      <c r="F298" s="66"/>
    </row>
    <row r="299" spans="2:6" x14ac:dyDescent="0.15">
      <c r="B299" s="66" t="s">
        <v>623</v>
      </c>
      <c r="C299" s="66" t="s">
        <v>1047</v>
      </c>
      <c r="D299" s="66"/>
      <c r="E299" s="66"/>
      <c r="F299" s="66"/>
    </row>
    <row r="300" spans="2:6" x14ac:dyDescent="0.15">
      <c r="B300" s="66" t="s">
        <v>624</v>
      </c>
      <c r="C300" s="66" t="s">
        <v>1048</v>
      </c>
      <c r="D300" s="66"/>
      <c r="E300" s="66"/>
      <c r="F300" s="66"/>
    </row>
    <row r="301" spans="2:6" x14ac:dyDescent="0.15">
      <c r="B301" s="66" t="s">
        <v>625</v>
      </c>
      <c r="C301" s="66" t="s">
        <v>1049</v>
      </c>
      <c r="D301" s="66"/>
      <c r="E301" s="66"/>
      <c r="F301" s="66"/>
    </row>
    <row r="302" spans="2:6" x14ac:dyDescent="0.15">
      <c r="B302" s="66" t="s">
        <v>626</v>
      </c>
      <c r="C302" s="66" t="s">
        <v>1050</v>
      </c>
      <c r="D302" s="66"/>
      <c r="E302" s="66"/>
      <c r="F302" s="66"/>
    </row>
    <row r="303" spans="2:6" x14ac:dyDescent="0.15">
      <c r="B303" s="66" t="s">
        <v>627</v>
      </c>
      <c r="C303" s="66" t="s">
        <v>1051</v>
      </c>
      <c r="D303" s="66"/>
      <c r="E303" s="66"/>
      <c r="F303" s="66"/>
    </row>
    <row r="304" spans="2:6" x14ac:dyDescent="0.15">
      <c r="B304" s="66" t="s">
        <v>628</v>
      </c>
      <c r="C304" s="66" t="s">
        <v>1052</v>
      </c>
      <c r="D304" s="66"/>
      <c r="E304" s="66"/>
      <c r="F304" s="66"/>
    </row>
    <row r="305" spans="1:6" x14ac:dyDescent="0.15">
      <c r="B305" s="66" t="s">
        <v>629</v>
      </c>
      <c r="C305" s="66" t="s">
        <v>1053</v>
      </c>
      <c r="D305" s="66"/>
      <c r="E305" s="66"/>
      <c r="F305" s="66"/>
    </row>
    <row r="306" spans="1:6" x14ac:dyDescent="0.15">
      <c r="B306" s="66" t="s">
        <v>630</v>
      </c>
      <c r="C306" s="66" t="s">
        <v>1054</v>
      </c>
      <c r="D306" s="66"/>
      <c r="E306" s="66"/>
      <c r="F306" s="66"/>
    </row>
    <row r="307" spans="1:6" x14ac:dyDescent="0.15">
      <c r="B307" s="66" t="s">
        <v>631</v>
      </c>
      <c r="C307" s="66" t="s">
        <v>902</v>
      </c>
      <c r="D307" s="66"/>
      <c r="E307" s="66"/>
      <c r="F307" s="66"/>
    </row>
    <row r="308" spans="1:6" x14ac:dyDescent="0.15">
      <c r="B308" s="66" t="s">
        <v>632</v>
      </c>
      <c r="C308" s="66" t="s">
        <v>903</v>
      </c>
      <c r="D308" s="66"/>
      <c r="E308" s="66"/>
      <c r="F308" s="66"/>
    </row>
    <row r="309" spans="1:6" x14ac:dyDescent="0.15">
      <c r="B309" s="66" t="s">
        <v>633</v>
      </c>
      <c r="C309" s="66" t="s">
        <v>904</v>
      </c>
      <c r="D309" s="66"/>
      <c r="E309" s="67"/>
      <c r="F309" s="67"/>
    </row>
    <row r="310" spans="1:6" x14ac:dyDescent="0.15">
      <c r="B310" s="66" t="s">
        <v>634</v>
      </c>
      <c r="C310" s="66" t="s">
        <v>905</v>
      </c>
      <c r="D310" s="67"/>
      <c r="E310" s="67"/>
      <c r="F310" s="67"/>
    </row>
    <row r="311" spans="1:6" x14ac:dyDescent="0.15">
      <c r="B311" s="66" t="s">
        <v>635</v>
      </c>
      <c r="C311" s="66" t="s">
        <v>906</v>
      </c>
      <c r="D311" s="67"/>
      <c r="E311" s="67"/>
      <c r="F311" s="67"/>
    </row>
    <row r="312" spans="1:6" x14ac:dyDescent="0.15">
      <c r="B312" s="66" t="s">
        <v>636</v>
      </c>
      <c r="C312" s="66" t="s">
        <v>907</v>
      </c>
      <c r="D312" s="67"/>
      <c r="E312" s="67"/>
      <c r="F312" s="67"/>
    </row>
    <row r="313" spans="1:6" x14ac:dyDescent="0.15">
      <c r="B313" s="66" t="s">
        <v>637</v>
      </c>
      <c r="C313" s="66" t="s">
        <v>908</v>
      </c>
      <c r="D313" s="67"/>
      <c r="E313" s="67"/>
      <c r="F313" s="67"/>
    </row>
    <row r="314" spans="1:6" x14ac:dyDescent="0.15">
      <c r="B314" s="66" t="s">
        <v>638</v>
      </c>
      <c r="C314" s="66" t="s">
        <v>909</v>
      </c>
      <c r="D314" s="67"/>
      <c r="E314" s="67"/>
      <c r="F314" s="67"/>
    </row>
    <row r="315" spans="1:6" ht="13.5" customHeight="1" x14ac:dyDescent="0.15"/>
    <row r="316" spans="1:6" x14ac:dyDescent="0.15">
      <c r="A316" s="20" t="s">
        <v>1072</v>
      </c>
    </row>
    <row r="317" spans="1:6" x14ac:dyDescent="0.15">
      <c r="B317" s="65" t="s">
        <v>316</v>
      </c>
      <c r="C317" s="65" t="s">
        <v>563</v>
      </c>
      <c r="D317" s="65" t="s">
        <v>1445</v>
      </c>
      <c r="E317" s="65" t="s">
        <v>1446</v>
      </c>
      <c r="F317" s="65" t="s">
        <v>1447</v>
      </c>
    </row>
    <row r="318" spans="1:6" x14ac:dyDescent="0.15">
      <c r="B318" s="95"/>
      <c r="C318" s="95" t="s">
        <v>1073</v>
      </c>
      <c r="D318" s="95"/>
      <c r="E318" s="95"/>
      <c r="F318" s="95"/>
    </row>
    <row r="319" spans="1:6" ht="13.5" customHeight="1" x14ac:dyDescent="0.15">
      <c r="B319" s="66" t="s">
        <v>639</v>
      </c>
      <c r="C319" s="67" t="s">
        <v>50</v>
      </c>
      <c r="D319" s="67" t="s">
        <v>490</v>
      </c>
      <c r="E319" s="67" t="s">
        <v>50</v>
      </c>
      <c r="F319" s="67" t="s">
        <v>50</v>
      </c>
    </row>
    <row r="320" spans="1:6" x14ac:dyDescent="0.15">
      <c r="B320" s="66" t="s">
        <v>640</v>
      </c>
      <c r="C320" s="66" t="s">
        <v>1870</v>
      </c>
      <c r="D320" s="66" t="s">
        <v>444</v>
      </c>
      <c r="E320" s="66" t="s">
        <v>1870</v>
      </c>
      <c r="F320" s="66" t="s">
        <v>1870</v>
      </c>
    </row>
    <row r="322" spans="1:6" x14ac:dyDescent="0.15">
      <c r="A322" s="20" t="s">
        <v>646</v>
      </c>
    </row>
    <row r="323" spans="1:6" x14ac:dyDescent="0.15">
      <c r="B323" s="65" t="s">
        <v>316</v>
      </c>
      <c r="C323" s="65" t="s">
        <v>563</v>
      </c>
      <c r="D323" s="65" t="s">
        <v>1445</v>
      </c>
      <c r="E323" s="65" t="s">
        <v>1446</v>
      </c>
      <c r="F323" s="65" t="s">
        <v>1447</v>
      </c>
    </row>
    <row r="324" spans="1:6" x14ac:dyDescent="0.15">
      <c r="B324" s="95"/>
      <c r="C324" s="95" t="s">
        <v>587</v>
      </c>
      <c r="D324" s="95" t="s">
        <v>586</v>
      </c>
      <c r="E324" s="95"/>
      <c r="F324" s="95" t="s">
        <v>587</v>
      </c>
    </row>
    <row r="325" spans="1:6" ht="13.5" customHeight="1" x14ac:dyDescent="0.15">
      <c r="B325" s="66" t="s">
        <v>641</v>
      </c>
      <c r="C325" s="66" t="s">
        <v>1055</v>
      </c>
      <c r="D325" s="66" t="s">
        <v>171</v>
      </c>
      <c r="E325" s="66" t="s">
        <v>1055</v>
      </c>
      <c r="F325" s="66" t="s">
        <v>173</v>
      </c>
    </row>
    <row r="326" spans="1:6" ht="13.5" customHeight="1" x14ac:dyDescent="0.15">
      <c r="B326" s="66" t="s">
        <v>642</v>
      </c>
      <c r="C326" s="66" t="s">
        <v>1057</v>
      </c>
      <c r="D326" s="66" t="s">
        <v>172</v>
      </c>
      <c r="E326" s="66" t="s">
        <v>1057</v>
      </c>
      <c r="F326" s="66" t="s">
        <v>315</v>
      </c>
    </row>
    <row r="327" spans="1:6" ht="13.5" customHeight="1" x14ac:dyDescent="0.15">
      <c r="B327" s="68" t="s">
        <v>557</v>
      </c>
      <c r="C327" s="66" t="s">
        <v>1056</v>
      </c>
      <c r="D327" s="66" t="s">
        <v>171</v>
      </c>
      <c r="E327" s="66" t="s">
        <v>1056</v>
      </c>
      <c r="F327" s="66" t="s">
        <v>173</v>
      </c>
    </row>
    <row r="328" spans="1:6" ht="13.5" customHeight="1" x14ac:dyDescent="0.15">
      <c r="B328" s="68" t="s">
        <v>643</v>
      </c>
      <c r="C328" s="66" t="s">
        <v>1057</v>
      </c>
      <c r="D328" s="66" t="s">
        <v>172</v>
      </c>
      <c r="E328" s="66" t="s">
        <v>1057</v>
      </c>
      <c r="F328" s="66" t="s">
        <v>315</v>
      </c>
    </row>
    <row r="330" spans="1:6" x14ac:dyDescent="0.15">
      <c r="A330" s="20" t="s">
        <v>1302</v>
      </c>
    </row>
    <row r="331" spans="1:6" x14ac:dyDescent="0.15">
      <c r="B331" s="65" t="s">
        <v>316</v>
      </c>
      <c r="C331" s="65" t="s">
        <v>563</v>
      </c>
      <c r="D331" s="65" t="s">
        <v>1445</v>
      </c>
      <c r="E331" s="65" t="s">
        <v>1446</v>
      </c>
      <c r="F331" s="65" t="s">
        <v>1447</v>
      </c>
    </row>
    <row r="332" spans="1:6" x14ac:dyDescent="0.15">
      <c r="B332" s="96"/>
      <c r="C332" s="96" t="s">
        <v>1303</v>
      </c>
      <c r="D332" s="97"/>
      <c r="E332" s="96"/>
      <c r="F332" s="96"/>
    </row>
    <row r="333" spans="1:6" x14ac:dyDescent="0.15">
      <c r="B333" s="66" t="s">
        <v>1304</v>
      </c>
      <c r="C333" s="66" t="s">
        <v>1046</v>
      </c>
      <c r="D333" s="66"/>
      <c r="E333" s="66"/>
      <c r="F333" s="66"/>
    </row>
    <row r="334" spans="1:6" x14ac:dyDescent="0.15">
      <c r="B334" s="66" t="s">
        <v>1305</v>
      </c>
      <c r="C334" s="66" t="s">
        <v>1047</v>
      </c>
      <c r="D334" s="66"/>
      <c r="E334" s="66"/>
      <c r="F334" s="66"/>
    </row>
    <row r="335" spans="1:6" x14ac:dyDescent="0.15">
      <c r="B335" s="66" t="s">
        <v>1306</v>
      </c>
      <c r="C335" s="66" t="s">
        <v>1048</v>
      </c>
      <c r="D335" s="66"/>
      <c r="E335" s="66"/>
      <c r="F335" s="66"/>
    </row>
    <row r="336" spans="1:6" x14ac:dyDescent="0.15">
      <c r="B336" s="66" t="s">
        <v>1307</v>
      </c>
      <c r="C336" s="66" t="s">
        <v>1049</v>
      </c>
      <c r="D336" s="66"/>
      <c r="E336" s="66"/>
      <c r="F336" s="66"/>
    </row>
    <row r="337" spans="2:6" x14ac:dyDescent="0.15">
      <c r="B337" s="66" t="s">
        <v>1308</v>
      </c>
      <c r="C337" s="66" t="s">
        <v>1050</v>
      </c>
      <c r="D337" s="66"/>
      <c r="E337" s="66"/>
      <c r="F337" s="66"/>
    </row>
    <row r="338" spans="2:6" x14ac:dyDescent="0.15">
      <c r="B338" s="66" t="s">
        <v>1309</v>
      </c>
      <c r="C338" s="66" t="s">
        <v>1051</v>
      </c>
      <c r="D338" s="66"/>
      <c r="E338" s="66"/>
      <c r="F338" s="66"/>
    </row>
    <row r="339" spans="2:6" x14ac:dyDescent="0.15">
      <c r="B339" s="66" t="s">
        <v>1310</v>
      </c>
      <c r="C339" s="66" t="s">
        <v>1052</v>
      </c>
      <c r="D339" s="66"/>
      <c r="E339" s="66"/>
      <c r="F339" s="66"/>
    </row>
    <row r="340" spans="2:6" x14ac:dyDescent="0.15">
      <c r="B340" s="66" t="s">
        <v>1311</v>
      </c>
      <c r="C340" s="66" t="s">
        <v>1053</v>
      </c>
      <c r="D340" s="66"/>
      <c r="E340" s="66"/>
      <c r="F340" s="66"/>
    </row>
    <row r="341" spans="2:6" x14ac:dyDescent="0.15">
      <c r="B341" s="66" t="s">
        <v>1312</v>
      </c>
      <c r="C341" s="66" t="s">
        <v>1054</v>
      </c>
      <c r="D341" s="66"/>
      <c r="E341" s="66"/>
      <c r="F341" s="66"/>
    </row>
    <row r="342" spans="2:6" x14ac:dyDescent="0.15">
      <c r="B342" s="66" t="s">
        <v>1313</v>
      </c>
      <c r="C342" s="66" t="s">
        <v>902</v>
      </c>
      <c r="D342" s="66"/>
      <c r="E342" s="66"/>
      <c r="F342" s="66"/>
    </row>
    <row r="343" spans="2:6" x14ac:dyDescent="0.15">
      <c r="B343" s="66" t="s">
        <v>1314</v>
      </c>
      <c r="C343" s="66" t="s">
        <v>903</v>
      </c>
      <c r="D343" s="66"/>
      <c r="E343" s="66"/>
      <c r="F343" s="66"/>
    </row>
    <row r="344" spans="2:6" x14ac:dyDescent="0.15">
      <c r="B344" s="66" t="s">
        <v>1315</v>
      </c>
      <c r="C344" s="66" t="s">
        <v>904</v>
      </c>
      <c r="D344" s="66"/>
      <c r="E344" s="67"/>
      <c r="F344" s="67"/>
    </row>
    <row r="345" spans="2:6" x14ac:dyDescent="0.15">
      <c r="B345" s="66" t="s">
        <v>1316</v>
      </c>
      <c r="C345" s="66" t="s">
        <v>905</v>
      </c>
      <c r="D345" s="67"/>
      <c r="E345" s="67"/>
      <c r="F345" s="67"/>
    </row>
    <row r="346" spans="2:6" x14ac:dyDescent="0.15">
      <c r="B346" s="66" t="s">
        <v>1317</v>
      </c>
      <c r="C346" s="66" t="s">
        <v>906</v>
      </c>
      <c r="D346" s="67"/>
      <c r="E346" s="67"/>
      <c r="F346" s="67"/>
    </row>
    <row r="347" spans="2:6" x14ac:dyDescent="0.15">
      <c r="B347" s="66" t="s">
        <v>1318</v>
      </c>
      <c r="C347" s="66" t="s">
        <v>907</v>
      </c>
      <c r="D347" s="67"/>
      <c r="E347" s="67"/>
      <c r="F347" s="67"/>
    </row>
    <row r="348" spans="2:6" x14ac:dyDescent="0.15">
      <c r="B348" s="66" t="s">
        <v>1319</v>
      </c>
      <c r="C348" s="66" t="s">
        <v>908</v>
      </c>
      <c r="D348" s="67"/>
      <c r="E348" s="67"/>
      <c r="F348" s="67"/>
    </row>
    <row r="349" spans="2:6" x14ac:dyDescent="0.15">
      <c r="B349" s="66" t="s">
        <v>1320</v>
      </c>
      <c r="C349" s="66" t="s">
        <v>909</v>
      </c>
      <c r="D349" s="67"/>
      <c r="E349" s="67"/>
      <c r="F349" s="67"/>
    </row>
  </sheetData>
  <sheetProtection algorithmName="SHA-512" hashValue="beW3a6peKJA3xq/+tsVauZfzOwGeqptZuJxz2Cf9DAZ4CnhHblonx/1+cQmDYfG10D9wSlWlRXhLS9SXptFMig==" saltValue="mhNw5xTsOWHbBmIB56MJ+w=="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Printed>2020-02-20T01:46:32Z</cp:lastPrinted>
  <dcterms:created xsi:type="dcterms:W3CDTF">2019-09-06T08:20:08Z</dcterms:created>
  <dcterms:modified xsi:type="dcterms:W3CDTF">2020-03-09T02:11:41Z</dcterms:modified>
</cp:coreProperties>
</file>